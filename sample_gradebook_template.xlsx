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olin.madland/Documents/GitHub/blog/"/>
    </mc:Choice>
  </mc:AlternateContent>
  <xr:revisionPtr revIDLastSave="0" documentId="8_{5CFE066A-EAE0-234A-9054-1F450A3F116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Gradeboo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/>
  <c r="S2" i="1"/>
  <c r="T2" i="1" a="1"/>
  <c r="T2" i="1" s="1"/>
  <c r="U2" i="1" a="1"/>
  <c r="U2" i="1" s="1"/>
  <c r="V2" i="1"/>
  <c r="W2" i="1"/>
  <c r="Q3" i="1"/>
  <c r="R3" i="1"/>
  <c r="S3" i="1"/>
  <c r="T3" i="1" a="1"/>
  <c r="T3" i="1"/>
  <c r="U3" i="1" a="1"/>
  <c r="U3" i="1" s="1"/>
  <c r="V3" i="1"/>
  <c r="W3" i="1"/>
  <c r="Q4" i="1"/>
  <c r="R4" i="1"/>
  <c r="S4" i="1"/>
  <c r="T4" i="1" a="1"/>
  <c r="T4" i="1" s="1"/>
  <c r="X4" i="1" s="1"/>
  <c r="Y4" i="1" s="1"/>
  <c r="U4" i="1" a="1"/>
  <c r="U4" i="1"/>
  <c r="V4" i="1"/>
  <c r="W4" i="1"/>
  <c r="Q5" i="1"/>
  <c r="R5" i="1"/>
  <c r="S5" i="1"/>
  <c r="T5" i="1" a="1"/>
  <c r="T5" i="1"/>
  <c r="X5" i="1" s="1"/>
  <c r="Y5" i="1" s="1"/>
  <c r="U5" i="1" a="1"/>
  <c r="U5" i="1"/>
  <c r="V5" i="1"/>
  <c r="W5" i="1"/>
  <c r="Q6" i="1"/>
  <c r="R6" i="1"/>
  <c r="S6" i="1"/>
  <c r="T6" i="1" a="1"/>
  <c r="T6" i="1" s="1"/>
  <c r="U6" i="1" a="1"/>
  <c r="U6" i="1" s="1"/>
  <c r="V6" i="1"/>
  <c r="W6" i="1"/>
  <c r="Q7" i="1"/>
  <c r="R7" i="1"/>
  <c r="S7" i="1"/>
  <c r="T7" i="1" a="1"/>
  <c r="T7" i="1"/>
  <c r="X7" i="1" s="1"/>
  <c r="Y7" i="1" s="1"/>
  <c r="U7" i="1" a="1"/>
  <c r="U7" i="1"/>
  <c r="V7" i="1"/>
  <c r="W7" i="1"/>
  <c r="Q8" i="1"/>
  <c r="R8" i="1"/>
  <c r="S8" i="1"/>
  <c r="T8" i="1" a="1"/>
  <c r="T8" i="1" s="1"/>
  <c r="U8" i="1" a="1"/>
  <c r="U8" i="1" s="1"/>
  <c r="V8" i="1"/>
  <c r="W8" i="1"/>
  <c r="Q9" i="1"/>
  <c r="R9" i="1"/>
  <c r="S9" i="1"/>
  <c r="T9" i="1" a="1"/>
  <c r="T9" i="1" s="1"/>
  <c r="X9" i="1" s="1"/>
  <c r="Y9" i="1" s="1"/>
  <c r="U9" i="1" a="1"/>
  <c r="U9" i="1"/>
  <c r="V9" i="1"/>
  <c r="W9" i="1"/>
  <c r="Q10" i="1"/>
  <c r="R10" i="1"/>
  <c r="S10" i="1"/>
  <c r="T10" i="1" a="1"/>
  <c r="T10" i="1"/>
  <c r="U10" i="1" a="1"/>
  <c r="U10" i="1" s="1"/>
  <c r="V10" i="1"/>
  <c r="W10" i="1"/>
  <c r="Q11" i="1"/>
  <c r="R11" i="1"/>
  <c r="S11" i="1"/>
  <c r="T11" i="1" a="1"/>
  <c r="T11" i="1"/>
  <c r="U11" i="1" a="1"/>
  <c r="U11" i="1" s="1"/>
  <c r="V11" i="1"/>
  <c r="W11" i="1"/>
  <c r="Q12" i="1"/>
  <c r="R12" i="1"/>
  <c r="S12" i="1"/>
  <c r="T12" i="1" a="1"/>
  <c r="T12" i="1" s="1"/>
  <c r="X12" i="1" s="1"/>
  <c r="Y12" i="1" s="1"/>
  <c r="U12" i="1" a="1"/>
  <c r="U12" i="1"/>
  <c r="V12" i="1"/>
  <c r="W12" i="1"/>
  <c r="Q13" i="1"/>
  <c r="R13" i="1"/>
  <c r="S13" i="1"/>
  <c r="T13" i="1" a="1"/>
  <c r="T13" i="1"/>
  <c r="X13" i="1" s="1"/>
  <c r="Y13" i="1" s="1"/>
  <c r="U13" i="1" a="1"/>
  <c r="U13" i="1"/>
  <c r="V13" i="1"/>
  <c r="W13" i="1"/>
  <c r="Q14" i="1"/>
  <c r="R14" i="1"/>
  <c r="S14" i="1"/>
  <c r="T14" i="1" a="1"/>
  <c r="T14" i="1" s="1"/>
  <c r="U14" i="1" a="1"/>
  <c r="U14" i="1" s="1"/>
  <c r="V14" i="1"/>
  <c r="W14" i="1"/>
  <c r="Q15" i="1"/>
  <c r="R15" i="1"/>
  <c r="S15" i="1"/>
  <c r="T15" i="1" a="1"/>
  <c r="T15" i="1"/>
  <c r="X15" i="1" s="1"/>
  <c r="Y15" i="1" s="1"/>
  <c r="U15" i="1" a="1"/>
  <c r="U15" i="1"/>
  <c r="V15" i="1"/>
  <c r="W15" i="1"/>
  <c r="Q16" i="1"/>
  <c r="R16" i="1"/>
  <c r="S16" i="1"/>
  <c r="T16" i="1" a="1"/>
  <c r="T16" i="1" s="1"/>
  <c r="U16" i="1" a="1"/>
  <c r="U16" i="1" s="1"/>
  <c r="V16" i="1"/>
  <c r="W16" i="1"/>
  <c r="Q17" i="1"/>
  <c r="R17" i="1"/>
  <c r="S17" i="1"/>
  <c r="T17" i="1" a="1"/>
  <c r="T17" i="1" s="1"/>
  <c r="X17" i="1" s="1"/>
  <c r="Y17" i="1" s="1"/>
  <c r="U17" i="1" a="1"/>
  <c r="U17" i="1"/>
  <c r="V17" i="1"/>
  <c r="W17" i="1"/>
  <c r="Q18" i="1"/>
  <c r="R18" i="1"/>
  <c r="S18" i="1"/>
  <c r="T18" i="1" a="1"/>
  <c r="T18" i="1"/>
  <c r="U18" i="1" a="1"/>
  <c r="U18" i="1" s="1"/>
  <c r="V18" i="1"/>
  <c r="W18" i="1"/>
  <c r="Q19" i="1"/>
  <c r="R19" i="1"/>
  <c r="S19" i="1"/>
  <c r="T19" i="1" a="1"/>
  <c r="T19" i="1"/>
  <c r="U19" i="1" a="1"/>
  <c r="U19" i="1" s="1"/>
  <c r="V19" i="1"/>
  <c r="W19" i="1"/>
  <c r="Q20" i="1"/>
  <c r="R20" i="1"/>
  <c r="S20" i="1"/>
  <c r="T20" i="1" a="1"/>
  <c r="T20" i="1" s="1"/>
  <c r="X20" i="1" s="1"/>
  <c r="Y20" i="1" s="1"/>
  <c r="U20" i="1" a="1"/>
  <c r="U20" i="1"/>
  <c r="V20" i="1"/>
  <c r="W20" i="1"/>
  <c r="Q21" i="1"/>
  <c r="R21" i="1"/>
  <c r="S21" i="1"/>
  <c r="T21" i="1" a="1"/>
  <c r="T21" i="1"/>
  <c r="X21" i="1" s="1"/>
  <c r="Y21" i="1" s="1"/>
  <c r="U21" i="1" a="1"/>
  <c r="U21" i="1"/>
  <c r="V21" i="1"/>
  <c r="W21" i="1"/>
  <c r="Q22" i="1"/>
  <c r="R22" i="1"/>
  <c r="S22" i="1"/>
  <c r="T22" i="1" a="1"/>
  <c r="T22" i="1" s="1"/>
  <c r="U22" i="1" a="1"/>
  <c r="U22" i="1" s="1"/>
  <c r="V22" i="1"/>
  <c r="W22" i="1"/>
  <c r="Q23" i="1"/>
  <c r="R23" i="1"/>
  <c r="S23" i="1"/>
  <c r="T23" i="1" a="1"/>
  <c r="T23" i="1"/>
  <c r="X23" i="1" s="1"/>
  <c r="Y23" i="1" s="1"/>
  <c r="U23" i="1" a="1"/>
  <c r="U23" i="1"/>
  <c r="V23" i="1"/>
  <c r="W23" i="1"/>
  <c r="Q24" i="1"/>
  <c r="R24" i="1"/>
  <c r="S24" i="1"/>
  <c r="T24" i="1" a="1"/>
  <c r="T24" i="1" s="1"/>
  <c r="U24" i="1" a="1"/>
  <c r="U24" i="1" s="1"/>
  <c r="V24" i="1"/>
  <c r="W24" i="1"/>
  <c r="Q25" i="1"/>
  <c r="R25" i="1"/>
  <c r="S25" i="1"/>
  <c r="T25" i="1" a="1"/>
  <c r="T25" i="1" s="1"/>
  <c r="X25" i="1" s="1"/>
  <c r="Y25" i="1" s="1"/>
  <c r="U25" i="1" a="1"/>
  <c r="U25" i="1"/>
  <c r="V25" i="1"/>
  <c r="W25" i="1"/>
  <c r="Q26" i="1"/>
  <c r="R26" i="1"/>
  <c r="S26" i="1"/>
  <c r="T26" i="1" a="1"/>
  <c r="T26" i="1"/>
  <c r="U26" i="1" a="1"/>
  <c r="U26" i="1" s="1"/>
  <c r="V26" i="1"/>
  <c r="W26" i="1"/>
  <c r="Q27" i="1"/>
  <c r="R27" i="1"/>
  <c r="S27" i="1"/>
  <c r="T27" i="1" a="1"/>
  <c r="T27" i="1"/>
  <c r="U27" i="1" a="1"/>
  <c r="U27" i="1" s="1"/>
  <c r="V27" i="1"/>
  <c r="W27" i="1"/>
  <c r="Q28" i="1"/>
  <c r="R28" i="1"/>
  <c r="S28" i="1"/>
  <c r="T28" i="1" a="1"/>
  <c r="T28" i="1" s="1"/>
  <c r="X28" i="1" s="1"/>
  <c r="Y28" i="1" s="1"/>
  <c r="U28" i="1" a="1"/>
  <c r="U28" i="1"/>
  <c r="V28" i="1"/>
  <c r="W28" i="1"/>
  <c r="Q29" i="1"/>
  <c r="R29" i="1"/>
  <c r="S29" i="1"/>
  <c r="T29" i="1" a="1"/>
  <c r="T29" i="1"/>
  <c r="X29" i="1" s="1"/>
  <c r="Y29" i="1" s="1"/>
  <c r="U29" i="1" a="1"/>
  <c r="U29" i="1"/>
  <c r="V29" i="1"/>
  <c r="W29" i="1"/>
  <c r="Q30" i="1"/>
  <c r="R30" i="1"/>
  <c r="S30" i="1"/>
  <c r="T30" i="1" a="1"/>
  <c r="T30" i="1" s="1"/>
  <c r="U30" i="1" a="1"/>
  <c r="U30" i="1" s="1"/>
  <c r="V30" i="1"/>
  <c r="W30" i="1"/>
  <c r="Q31" i="1"/>
  <c r="R31" i="1"/>
  <c r="S31" i="1"/>
  <c r="T31" i="1" a="1"/>
  <c r="T31" i="1"/>
  <c r="X31" i="1" s="1"/>
  <c r="Y31" i="1" s="1"/>
  <c r="U31" i="1" a="1"/>
  <c r="U31" i="1"/>
  <c r="V31" i="1"/>
  <c r="W31" i="1"/>
  <c r="Q32" i="1"/>
  <c r="R32" i="1"/>
  <c r="S32" i="1"/>
  <c r="T32" i="1" a="1"/>
  <c r="T32" i="1" s="1"/>
  <c r="U32" i="1" a="1"/>
  <c r="U32" i="1" s="1"/>
  <c r="V32" i="1"/>
  <c r="W32" i="1"/>
  <c r="Q33" i="1"/>
  <c r="R33" i="1"/>
  <c r="S33" i="1"/>
  <c r="T33" i="1" a="1"/>
  <c r="T33" i="1" s="1"/>
  <c r="X33" i="1" s="1"/>
  <c r="Y33" i="1" s="1"/>
  <c r="U33" i="1" a="1"/>
  <c r="U33" i="1"/>
  <c r="V33" i="1"/>
  <c r="W33" i="1"/>
  <c r="Q34" i="1"/>
  <c r="R34" i="1"/>
  <c r="S34" i="1"/>
  <c r="T34" i="1" a="1"/>
  <c r="T34" i="1"/>
  <c r="U34" i="1" a="1"/>
  <c r="U34" i="1" s="1"/>
  <c r="V34" i="1"/>
  <c r="W34" i="1"/>
  <c r="Q35" i="1"/>
  <c r="R35" i="1"/>
  <c r="S35" i="1"/>
  <c r="T35" i="1" a="1"/>
  <c r="T35" i="1"/>
  <c r="U35" i="1" a="1"/>
  <c r="U35" i="1" s="1"/>
  <c r="V35" i="1"/>
  <c r="W35" i="1"/>
  <c r="Q36" i="1"/>
  <c r="R36" i="1"/>
  <c r="S36" i="1"/>
  <c r="T36" i="1" a="1"/>
  <c r="T36" i="1" s="1"/>
  <c r="X36" i="1" s="1"/>
  <c r="Y36" i="1" s="1"/>
  <c r="U36" i="1" a="1"/>
  <c r="U36" i="1"/>
  <c r="V36" i="1"/>
  <c r="W36" i="1"/>
  <c r="Q37" i="1"/>
  <c r="R37" i="1"/>
  <c r="S37" i="1"/>
  <c r="T37" i="1" a="1"/>
  <c r="T37" i="1"/>
  <c r="X37" i="1" s="1"/>
  <c r="Y37" i="1" s="1"/>
  <c r="U37" i="1" a="1"/>
  <c r="U37" i="1"/>
  <c r="V37" i="1"/>
  <c r="W37" i="1"/>
  <c r="Q38" i="1"/>
  <c r="R38" i="1"/>
  <c r="S38" i="1"/>
  <c r="T38" i="1" a="1"/>
  <c r="T38" i="1" s="1"/>
  <c r="U38" i="1" a="1"/>
  <c r="U38" i="1" s="1"/>
  <c r="V38" i="1"/>
  <c r="W38" i="1"/>
  <c r="Q39" i="1"/>
  <c r="R39" i="1"/>
  <c r="S39" i="1"/>
  <c r="T39" i="1" a="1"/>
  <c r="T39" i="1"/>
  <c r="X39" i="1" s="1"/>
  <c r="Y39" i="1" s="1"/>
  <c r="U39" i="1" a="1"/>
  <c r="U39" i="1"/>
  <c r="V39" i="1"/>
  <c r="W39" i="1"/>
  <c r="Q40" i="1"/>
  <c r="R40" i="1"/>
  <c r="S40" i="1"/>
  <c r="T40" i="1" a="1"/>
  <c r="T40" i="1" s="1"/>
  <c r="U40" i="1" a="1"/>
  <c r="U40" i="1" s="1"/>
  <c r="V40" i="1"/>
  <c r="W40" i="1"/>
  <c r="Q41" i="1"/>
  <c r="R41" i="1"/>
  <c r="S41" i="1"/>
  <c r="T41" i="1" a="1"/>
  <c r="T41" i="1" s="1"/>
  <c r="X41" i="1" s="1"/>
  <c r="Y41" i="1" s="1"/>
  <c r="U41" i="1" a="1"/>
  <c r="U41" i="1"/>
  <c r="V41" i="1"/>
  <c r="W41" i="1"/>
  <c r="Q42" i="1"/>
  <c r="R42" i="1"/>
  <c r="S42" i="1"/>
  <c r="T42" i="1" a="1"/>
  <c r="T42" i="1"/>
  <c r="U42" i="1" a="1"/>
  <c r="U42" i="1" s="1"/>
  <c r="V42" i="1"/>
  <c r="W42" i="1"/>
  <c r="Q43" i="1"/>
  <c r="R43" i="1"/>
  <c r="S43" i="1"/>
  <c r="T43" i="1" a="1"/>
  <c r="T43" i="1"/>
  <c r="U43" i="1" a="1"/>
  <c r="U43" i="1" s="1"/>
  <c r="V43" i="1"/>
  <c r="W43" i="1"/>
  <c r="Q44" i="1"/>
  <c r="R44" i="1"/>
  <c r="S44" i="1"/>
  <c r="T44" i="1" a="1"/>
  <c r="T44" i="1" s="1"/>
  <c r="X44" i="1" s="1"/>
  <c r="Y44" i="1" s="1"/>
  <c r="U44" i="1" a="1"/>
  <c r="U44" i="1"/>
  <c r="V44" i="1"/>
  <c r="W44" i="1"/>
  <c r="Q45" i="1"/>
  <c r="R45" i="1"/>
  <c r="S45" i="1"/>
  <c r="T45" i="1" a="1"/>
  <c r="T45" i="1"/>
  <c r="X45" i="1" s="1"/>
  <c r="Y45" i="1" s="1"/>
  <c r="U45" i="1" a="1"/>
  <c r="U45" i="1"/>
  <c r="V45" i="1"/>
  <c r="W45" i="1"/>
  <c r="Q46" i="1"/>
  <c r="R46" i="1"/>
  <c r="S46" i="1"/>
  <c r="T46" i="1" a="1"/>
  <c r="T46" i="1" s="1"/>
  <c r="U46" i="1" a="1"/>
  <c r="U46" i="1" s="1"/>
  <c r="V46" i="1"/>
  <c r="W46" i="1"/>
  <c r="Q47" i="1"/>
  <c r="R47" i="1"/>
  <c r="S47" i="1"/>
  <c r="T47" i="1" a="1"/>
  <c r="T47" i="1"/>
  <c r="X47" i="1" s="1"/>
  <c r="Y47" i="1" s="1"/>
  <c r="U47" i="1" a="1"/>
  <c r="U47" i="1"/>
  <c r="V47" i="1"/>
  <c r="W47" i="1"/>
  <c r="Q48" i="1"/>
  <c r="R48" i="1"/>
  <c r="S48" i="1"/>
  <c r="T48" i="1" a="1"/>
  <c r="T48" i="1" s="1"/>
  <c r="U48" i="1" a="1"/>
  <c r="U48" i="1" s="1"/>
  <c r="V48" i="1"/>
  <c r="W48" i="1"/>
  <c r="Q49" i="1"/>
  <c r="R49" i="1"/>
  <c r="S49" i="1"/>
  <c r="T49" i="1" a="1"/>
  <c r="T49" i="1" s="1"/>
  <c r="X49" i="1" s="1"/>
  <c r="Y49" i="1" s="1"/>
  <c r="U49" i="1" a="1"/>
  <c r="U49" i="1"/>
  <c r="V49" i="1"/>
  <c r="W49" i="1"/>
  <c r="Q50" i="1"/>
  <c r="R50" i="1"/>
  <c r="S50" i="1"/>
  <c r="T50" i="1" a="1"/>
  <c r="T50" i="1"/>
  <c r="U50" i="1" a="1"/>
  <c r="U50" i="1" s="1"/>
  <c r="V50" i="1"/>
  <c r="W50" i="1"/>
  <c r="Q51" i="1"/>
  <c r="R51" i="1"/>
  <c r="S51" i="1"/>
  <c r="T51" i="1" a="1"/>
  <c r="T51" i="1"/>
  <c r="U51" i="1" a="1"/>
  <c r="U51" i="1" s="1"/>
  <c r="V51" i="1"/>
  <c r="W51" i="1"/>
  <c r="Q52" i="1"/>
  <c r="R52" i="1"/>
  <c r="S52" i="1"/>
  <c r="T52" i="1" a="1"/>
  <c r="T52" i="1" s="1"/>
  <c r="X52" i="1" s="1"/>
  <c r="Y52" i="1" s="1"/>
  <c r="U52" i="1" a="1"/>
  <c r="U52" i="1"/>
  <c r="V52" i="1"/>
  <c r="W52" i="1"/>
  <c r="Q53" i="1"/>
  <c r="R53" i="1"/>
  <c r="S53" i="1"/>
  <c r="T53" i="1" a="1"/>
  <c r="T53" i="1"/>
  <c r="X53" i="1" s="1"/>
  <c r="Y53" i="1" s="1"/>
  <c r="U53" i="1" a="1"/>
  <c r="U53" i="1"/>
  <c r="V53" i="1"/>
  <c r="W53" i="1"/>
  <c r="Q54" i="1"/>
  <c r="R54" i="1"/>
  <c r="S54" i="1"/>
  <c r="T54" i="1" a="1"/>
  <c r="T54" i="1" s="1"/>
  <c r="U54" i="1" a="1"/>
  <c r="U54" i="1" s="1"/>
  <c r="V54" i="1"/>
  <c r="W54" i="1"/>
  <c r="Q55" i="1"/>
  <c r="R55" i="1"/>
  <c r="S55" i="1"/>
  <c r="T55" i="1" a="1"/>
  <c r="T55" i="1"/>
  <c r="X55" i="1" s="1"/>
  <c r="Y55" i="1" s="1"/>
  <c r="U55" i="1" a="1"/>
  <c r="U55" i="1"/>
  <c r="V55" i="1"/>
  <c r="W55" i="1"/>
  <c r="Q56" i="1"/>
  <c r="R56" i="1"/>
  <c r="S56" i="1"/>
  <c r="T56" i="1" a="1"/>
  <c r="T56" i="1" s="1"/>
  <c r="U56" i="1" a="1"/>
  <c r="U56" i="1" s="1"/>
  <c r="V56" i="1"/>
  <c r="W56" i="1"/>
  <c r="Q57" i="1"/>
  <c r="R57" i="1"/>
  <c r="S57" i="1"/>
  <c r="T57" i="1" a="1"/>
  <c r="T57" i="1" s="1"/>
  <c r="X57" i="1" s="1"/>
  <c r="Y57" i="1" s="1"/>
  <c r="U57" i="1" a="1"/>
  <c r="U57" i="1"/>
  <c r="V57" i="1"/>
  <c r="W57" i="1"/>
  <c r="Q58" i="1"/>
  <c r="R58" i="1"/>
  <c r="S58" i="1"/>
  <c r="T58" i="1" a="1"/>
  <c r="T58" i="1"/>
  <c r="U58" i="1" a="1"/>
  <c r="U58" i="1" s="1"/>
  <c r="V58" i="1"/>
  <c r="W58" i="1"/>
  <c r="Q59" i="1"/>
  <c r="R59" i="1"/>
  <c r="S59" i="1"/>
  <c r="T59" i="1" a="1"/>
  <c r="T59" i="1"/>
  <c r="U59" i="1" a="1"/>
  <c r="U59" i="1" s="1"/>
  <c r="V59" i="1"/>
  <c r="W59" i="1"/>
  <c r="Q60" i="1"/>
  <c r="R60" i="1"/>
  <c r="S60" i="1"/>
  <c r="T60" i="1" a="1"/>
  <c r="T60" i="1" s="1"/>
  <c r="X60" i="1" s="1"/>
  <c r="Y60" i="1" s="1"/>
  <c r="U60" i="1" a="1"/>
  <c r="U60" i="1"/>
  <c r="V60" i="1"/>
  <c r="W60" i="1"/>
  <c r="Q61" i="1"/>
  <c r="R61" i="1"/>
  <c r="S61" i="1"/>
  <c r="T61" i="1" a="1"/>
  <c r="T61" i="1"/>
  <c r="X61" i="1" s="1"/>
  <c r="Y61" i="1" s="1"/>
  <c r="U61" i="1" a="1"/>
  <c r="U61" i="1"/>
  <c r="V61" i="1"/>
  <c r="W61" i="1"/>
  <c r="Q62" i="1"/>
  <c r="R62" i="1"/>
  <c r="S62" i="1"/>
  <c r="T62" i="1" a="1"/>
  <c r="T62" i="1" s="1"/>
  <c r="U62" i="1" a="1"/>
  <c r="U62" i="1" s="1"/>
  <c r="V62" i="1"/>
  <c r="W62" i="1"/>
  <c r="Q63" i="1"/>
  <c r="R63" i="1"/>
  <c r="S63" i="1"/>
  <c r="T63" i="1" a="1"/>
  <c r="T63" i="1"/>
  <c r="X63" i="1" s="1"/>
  <c r="Y63" i="1" s="1"/>
  <c r="U63" i="1" a="1"/>
  <c r="U63" i="1"/>
  <c r="V63" i="1"/>
  <c r="W63" i="1"/>
  <c r="Q64" i="1"/>
  <c r="R64" i="1"/>
  <c r="S64" i="1"/>
  <c r="T64" i="1" a="1"/>
  <c r="T64" i="1" s="1"/>
  <c r="U64" i="1" a="1"/>
  <c r="U64" i="1" s="1"/>
  <c r="V64" i="1"/>
  <c r="W64" i="1"/>
  <c r="Q65" i="1"/>
  <c r="R65" i="1"/>
  <c r="S65" i="1"/>
  <c r="T65" i="1" a="1"/>
  <c r="T65" i="1" s="1"/>
  <c r="X65" i="1" s="1"/>
  <c r="Y65" i="1" s="1"/>
  <c r="U65" i="1" a="1"/>
  <c r="U65" i="1"/>
  <c r="V65" i="1"/>
  <c r="W65" i="1"/>
  <c r="Q66" i="1"/>
  <c r="R66" i="1"/>
  <c r="S66" i="1"/>
  <c r="T66" i="1" a="1"/>
  <c r="T66" i="1"/>
  <c r="U66" i="1" a="1"/>
  <c r="U66" i="1" s="1"/>
  <c r="V66" i="1"/>
  <c r="W66" i="1"/>
  <c r="Q67" i="1"/>
  <c r="R67" i="1"/>
  <c r="S67" i="1"/>
  <c r="T67" i="1" a="1"/>
  <c r="T67" i="1"/>
  <c r="U67" i="1" a="1"/>
  <c r="U67" i="1" s="1"/>
  <c r="V67" i="1"/>
  <c r="W67" i="1"/>
  <c r="Q68" i="1"/>
  <c r="R68" i="1"/>
  <c r="S68" i="1"/>
  <c r="T68" i="1" a="1"/>
  <c r="T68" i="1" s="1"/>
  <c r="X68" i="1" s="1"/>
  <c r="Y68" i="1" s="1"/>
  <c r="U68" i="1" a="1"/>
  <c r="U68" i="1"/>
  <c r="V68" i="1"/>
  <c r="W68" i="1"/>
  <c r="Q69" i="1"/>
  <c r="R69" i="1"/>
  <c r="S69" i="1"/>
  <c r="T69" i="1" a="1"/>
  <c r="T69" i="1"/>
  <c r="X69" i="1" s="1"/>
  <c r="Y69" i="1" s="1"/>
  <c r="U69" i="1" a="1"/>
  <c r="U69" i="1"/>
  <c r="V69" i="1"/>
  <c r="W69" i="1"/>
  <c r="Q70" i="1"/>
  <c r="R70" i="1"/>
  <c r="S70" i="1"/>
  <c r="T70" i="1" a="1"/>
  <c r="T70" i="1" s="1"/>
  <c r="U70" i="1" a="1"/>
  <c r="U70" i="1" s="1"/>
  <c r="V70" i="1"/>
  <c r="W70" i="1"/>
  <c r="Q71" i="1"/>
  <c r="R71" i="1"/>
  <c r="S71" i="1"/>
  <c r="T71" i="1" a="1"/>
  <c r="T71" i="1"/>
  <c r="X71" i="1" s="1"/>
  <c r="Y71" i="1" s="1"/>
  <c r="U71" i="1" a="1"/>
  <c r="U71" i="1"/>
  <c r="V71" i="1"/>
  <c r="W71" i="1"/>
  <c r="Q72" i="1"/>
  <c r="R72" i="1"/>
  <c r="S72" i="1"/>
  <c r="T72" i="1" a="1"/>
  <c r="T72" i="1" s="1"/>
  <c r="U72" i="1" a="1"/>
  <c r="U72" i="1" s="1"/>
  <c r="V72" i="1"/>
  <c r="W72" i="1"/>
  <c r="Q73" i="1"/>
  <c r="R73" i="1"/>
  <c r="S73" i="1"/>
  <c r="T73" i="1" a="1"/>
  <c r="T73" i="1" s="1"/>
  <c r="X73" i="1" s="1"/>
  <c r="Y73" i="1" s="1"/>
  <c r="U73" i="1" a="1"/>
  <c r="U73" i="1"/>
  <c r="V73" i="1"/>
  <c r="W73" i="1"/>
  <c r="Q74" i="1"/>
  <c r="R74" i="1"/>
  <c r="S74" i="1"/>
  <c r="T74" i="1" a="1"/>
  <c r="T74" i="1"/>
  <c r="U74" i="1" a="1"/>
  <c r="U74" i="1" s="1"/>
  <c r="V74" i="1"/>
  <c r="W74" i="1"/>
  <c r="Q75" i="1"/>
  <c r="R75" i="1"/>
  <c r="S75" i="1"/>
  <c r="T75" i="1" a="1"/>
  <c r="T75" i="1"/>
  <c r="U75" i="1" a="1"/>
  <c r="U75" i="1" s="1"/>
  <c r="V75" i="1"/>
  <c r="W75" i="1"/>
  <c r="Q76" i="1"/>
  <c r="R76" i="1"/>
  <c r="S76" i="1"/>
  <c r="T76" i="1" a="1"/>
  <c r="T76" i="1" s="1"/>
  <c r="X76" i="1" s="1"/>
  <c r="Y76" i="1" s="1"/>
  <c r="U76" i="1" a="1"/>
  <c r="U76" i="1"/>
  <c r="V76" i="1"/>
  <c r="W76" i="1"/>
  <c r="Q77" i="1"/>
  <c r="R77" i="1"/>
  <c r="S77" i="1"/>
  <c r="T77" i="1" a="1"/>
  <c r="T77" i="1"/>
  <c r="X77" i="1" s="1"/>
  <c r="Y77" i="1" s="1"/>
  <c r="U77" i="1" a="1"/>
  <c r="U77" i="1"/>
  <c r="V77" i="1"/>
  <c r="W77" i="1"/>
  <c r="Q78" i="1"/>
  <c r="R78" i="1"/>
  <c r="S78" i="1"/>
  <c r="T78" i="1" a="1"/>
  <c r="T78" i="1" s="1"/>
  <c r="U78" i="1" a="1"/>
  <c r="U78" i="1" s="1"/>
  <c r="V78" i="1"/>
  <c r="W78" i="1"/>
  <c r="Q79" i="1"/>
  <c r="R79" i="1"/>
  <c r="S79" i="1"/>
  <c r="T79" i="1" a="1"/>
  <c r="T79" i="1"/>
  <c r="X79" i="1" s="1"/>
  <c r="Y79" i="1" s="1"/>
  <c r="U79" i="1" a="1"/>
  <c r="U79" i="1"/>
  <c r="V79" i="1"/>
  <c r="W79" i="1"/>
  <c r="Q80" i="1"/>
  <c r="R80" i="1"/>
  <c r="S80" i="1"/>
  <c r="T80" i="1" a="1"/>
  <c r="T80" i="1" s="1"/>
  <c r="U80" i="1" a="1"/>
  <c r="U80" i="1" s="1"/>
  <c r="V80" i="1"/>
  <c r="W80" i="1"/>
  <c r="Q81" i="1"/>
  <c r="R81" i="1"/>
  <c r="S81" i="1"/>
  <c r="T81" i="1" a="1"/>
  <c r="T81" i="1" s="1"/>
  <c r="X81" i="1" s="1"/>
  <c r="Y81" i="1" s="1"/>
  <c r="U81" i="1" a="1"/>
  <c r="U81" i="1"/>
  <c r="V81" i="1"/>
  <c r="W81" i="1"/>
  <c r="Q82" i="1"/>
  <c r="R82" i="1"/>
  <c r="S82" i="1"/>
  <c r="T82" i="1" a="1"/>
  <c r="T82" i="1"/>
  <c r="U82" i="1" a="1"/>
  <c r="U82" i="1" s="1"/>
  <c r="V82" i="1"/>
  <c r="W82" i="1"/>
  <c r="Q83" i="1"/>
  <c r="R83" i="1"/>
  <c r="S83" i="1"/>
  <c r="T83" i="1" a="1"/>
  <c r="T83" i="1"/>
  <c r="U83" i="1" a="1"/>
  <c r="U83" i="1" s="1"/>
  <c r="V83" i="1"/>
  <c r="W83" i="1"/>
  <c r="Q84" i="1"/>
  <c r="R84" i="1"/>
  <c r="S84" i="1"/>
  <c r="T84" i="1" a="1"/>
  <c r="T84" i="1" s="1"/>
  <c r="X84" i="1" s="1"/>
  <c r="Y84" i="1" s="1"/>
  <c r="U84" i="1" a="1"/>
  <c r="U84" i="1"/>
  <c r="V84" i="1"/>
  <c r="W84" i="1"/>
  <c r="Q85" i="1"/>
  <c r="R85" i="1"/>
  <c r="S85" i="1"/>
  <c r="T85" i="1" a="1"/>
  <c r="T85" i="1"/>
  <c r="X85" i="1" s="1"/>
  <c r="Y85" i="1" s="1"/>
  <c r="U85" i="1" a="1"/>
  <c r="U85" i="1"/>
  <c r="V85" i="1"/>
  <c r="W85" i="1"/>
  <c r="Q86" i="1"/>
  <c r="R86" i="1"/>
  <c r="S86" i="1"/>
  <c r="T86" i="1" a="1"/>
  <c r="T86" i="1" s="1"/>
  <c r="U86" i="1" a="1"/>
  <c r="U86" i="1" s="1"/>
  <c r="V86" i="1"/>
  <c r="W86" i="1"/>
  <c r="Q87" i="1"/>
  <c r="R87" i="1"/>
  <c r="S87" i="1"/>
  <c r="T87" i="1" a="1"/>
  <c r="T87" i="1"/>
  <c r="X87" i="1" s="1"/>
  <c r="Y87" i="1" s="1"/>
  <c r="U87" i="1" a="1"/>
  <c r="U87" i="1"/>
  <c r="V87" i="1"/>
  <c r="W87" i="1"/>
  <c r="Q88" i="1"/>
  <c r="R88" i="1"/>
  <c r="S88" i="1"/>
  <c r="T88" i="1" a="1"/>
  <c r="T88" i="1" s="1"/>
  <c r="U88" i="1" a="1"/>
  <c r="U88" i="1" s="1"/>
  <c r="V88" i="1"/>
  <c r="W88" i="1"/>
  <c r="Q89" i="1"/>
  <c r="R89" i="1"/>
  <c r="S89" i="1"/>
  <c r="T89" i="1" a="1"/>
  <c r="T89" i="1" s="1"/>
  <c r="X89" i="1" s="1"/>
  <c r="Y89" i="1" s="1"/>
  <c r="U89" i="1" a="1"/>
  <c r="U89" i="1"/>
  <c r="V89" i="1"/>
  <c r="W89" i="1"/>
  <c r="Q90" i="1"/>
  <c r="R90" i="1"/>
  <c r="S90" i="1"/>
  <c r="T90" i="1" a="1"/>
  <c r="T90" i="1"/>
  <c r="U90" i="1" a="1"/>
  <c r="U90" i="1" s="1"/>
  <c r="V90" i="1"/>
  <c r="W90" i="1"/>
  <c r="Q91" i="1"/>
  <c r="R91" i="1"/>
  <c r="S91" i="1"/>
  <c r="T91" i="1" a="1"/>
  <c r="T91" i="1"/>
  <c r="U91" i="1" a="1"/>
  <c r="U91" i="1" s="1"/>
  <c r="V91" i="1"/>
  <c r="W91" i="1"/>
  <c r="Q92" i="1"/>
  <c r="R92" i="1"/>
  <c r="S92" i="1"/>
  <c r="T92" i="1" a="1"/>
  <c r="T92" i="1" s="1"/>
  <c r="X92" i="1" s="1"/>
  <c r="Y92" i="1" s="1"/>
  <c r="U92" i="1" a="1"/>
  <c r="U92" i="1"/>
  <c r="V92" i="1"/>
  <c r="W92" i="1"/>
  <c r="Q93" i="1"/>
  <c r="R93" i="1"/>
  <c r="S93" i="1"/>
  <c r="T93" i="1" a="1"/>
  <c r="T93" i="1"/>
  <c r="X93" i="1" s="1"/>
  <c r="Y93" i="1" s="1"/>
  <c r="U93" i="1" a="1"/>
  <c r="U93" i="1"/>
  <c r="V93" i="1"/>
  <c r="W93" i="1"/>
  <c r="Q94" i="1"/>
  <c r="R94" i="1"/>
  <c r="S94" i="1"/>
  <c r="T94" i="1" a="1"/>
  <c r="T94" i="1" s="1"/>
  <c r="U94" i="1" a="1"/>
  <c r="U94" i="1" s="1"/>
  <c r="V94" i="1"/>
  <c r="W94" i="1"/>
  <c r="Q95" i="1"/>
  <c r="R95" i="1"/>
  <c r="S95" i="1"/>
  <c r="T95" i="1" a="1"/>
  <c r="T95" i="1"/>
  <c r="X95" i="1" s="1"/>
  <c r="Y95" i="1" s="1"/>
  <c r="U95" i="1" a="1"/>
  <c r="U95" i="1"/>
  <c r="V95" i="1"/>
  <c r="W95" i="1"/>
  <c r="Q96" i="1"/>
  <c r="R96" i="1"/>
  <c r="S96" i="1"/>
  <c r="T96" i="1" a="1"/>
  <c r="T96" i="1" s="1"/>
  <c r="U96" i="1" a="1"/>
  <c r="U96" i="1" s="1"/>
  <c r="V96" i="1"/>
  <c r="W96" i="1"/>
  <c r="Q97" i="1"/>
  <c r="R97" i="1"/>
  <c r="S97" i="1"/>
  <c r="T97" i="1" a="1"/>
  <c r="T97" i="1" s="1"/>
  <c r="X97" i="1" s="1"/>
  <c r="Y97" i="1" s="1"/>
  <c r="U97" i="1" a="1"/>
  <c r="U97" i="1"/>
  <c r="V97" i="1"/>
  <c r="W97" i="1"/>
  <c r="Q98" i="1"/>
  <c r="R98" i="1"/>
  <c r="S98" i="1"/>
  <c r="T98" i="1" a="1"/>
  <c r="T98" i="1"/>
  <c r="U98" i="1" a="1"/>
  <c r="U98" i="1" s="1"/>
  <c r="V98" i="1"/>
  <c r="W98" i="1"/>
  <c r="Q99" i="1"/>
  <c r="R99" i="1"/>
  <c r="S99" i="1"/>
  <c r="T99" i="1" a="1"/>
  <c r="T99" i="1"/>
  <c r="U99" i="1" a="1"/>
  <c r="U99" i="1" s="1"/>
  <c r="V99" i="1"/>
  <c r="W99" i="1"/>
  <c r="Q100" i="1"/>
  <c r="R100" i="1"/>
  <c r="S100" i="1"/>
  <c r="T100" i="1" a="1"/>
  <c r="T100" i="1" s="1"/>
  <c r="X100" i="1" s="1"/>
  <c r="Y100" i="1" s="1"/>
  <c r="U100" i="1" a="1"/>
  <c r="U100" i="1"/>
  <c r="V100" i="1"/>
  <c r="W100" i="1"/>
  <c r="Q101" i="1"/>
  <c r="R101" i="1"/>
  <c r="S101" i="1"/>
  <c r="T101" i="1" a="1"/>
  <c r="T101" i="1"/>
  <c r="X101" i="1" s="1"/>
  <c r="Y101" i="1" s="1"/>
  <c r="U101" i="1" a="1"/>
  <c r="U101" i="1"/>
  <c r="V101" i="1"/>
  <c r="W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X91" i="1" l="1"/>
  <c r="Y91" i="1" s="1"/>
  <c r="X74" i="1"/>
  <c r="Y74" i="1" s="1"/>
  <c r="X56" i="1"/>
  <c r="Y56" i="1" s="1"/>
  <c r="X6" i="1"/>
  <c r="Y6" i="1" s="1"/>
  <c r="X99" i="1"/>
  <c r="Y99" i="1" s="1"/>
  <c r="X98" i="1"/>
  <c r="Y98" i="1" s="1"/>
  <c r="X94" i="1"/>
  <c r="Y94" i="1" s="1"/>
  <c r="X88" i="1"/>
  <c r="Y88" i="1" s="1"/>
  <c r="X86" i="1"/>
  <c r="Y86" i="1" s="1"/>
  <c r="X83" i="1"/>
  <c r="Y83" i="1" s="1"/>
  <c r="X82" i="1"/>
  <c r="Y82" i="1" s="1"/>
  <c r="X72" i="1"/>
  <c r="Y72" i="1" s="1"/>
  <c r="X66" i="1"/>
  <c r="Y66" i="1" s="1"/>
  <c r="X59" i="1"/>
  <c r="Y59" i="1" s="1"/>
  <c r="X54" i="1"/>
  <c r="Y54" i="1" s="1"/>
  <c r="X90" i="1"/>
  <c r="Y90" i="1" s="1"/>
  <c r="X80" i="1"/>
  <c r="Y80" i="1" s="1"/>
  <c r="X78" i="1"/>
  <c r="Y78" i="1" s="1"/>
  <c r="X67" i="1"/>
  <c r="Y67" i="1" s="1"/>
  <c r="X64" i="1"/>
  <c r="Y64" i="1" s="1"/>
  <c r="X62" i="1"/>
  <c r="Y62" i="1" s="1"/>
  <c r="X51" i="1"/>
  <c r="Y51" i="1" s="1"/>
  <c r="X48" i="1"/>
  <c r="Y48" i="1" s="1"/>
  <c r="X46" i="1"/>
  <c r="Y46" i="1" s="1"/>
  <c r="X43" i="1"/>
  <c r="Y43" i="1" s="1"/>
  <c r="X40" i="1"/>
  <c r="Y40" i="1" s="1"/>
  <c r="X38" i="1"/>
  <c r="Y38" i="1" s="1"/>
  <c r="X35" i="1"/>
  <c r="Y35" i="1" s="1"/>
  <c r="X30" i="1"/>
  <c r="Y30" i="1" s="1"/>
  <c r="X27" i="1"/>
  <c r="Y27" i="1" s="1"/>
  <c r="X24" i="1"/>
  <c r="Y24" i="1" s="1"/>
  <c r="X22" i="1"/>
  <c r="Y22" i="1" s="1"/>
  <c r="X19" i="1"/>
  <c r="Y19" i="1" s="1"/>
  <c r="X16" i="1"/>
  <c r="Y16" i="1" s="1"/>
  <c r="X14" i="1"/>
  <c r="Y14" i="1" s="1"/>
  <c r="X8" i="1"/>
  <c r="Y8" i="1" s="1"/>
  <c r="X2" i="1"/>
  <c r="Y2" i="1" s="1"/>
  <c r="X96" i="1"/>
  <c r="Y96" i="1" s="1"/>
  <c r="X75" i="1"/>
  <c r="Y75" i="1" s="1"/>
  <c r="X70" i="1"/>
  <c r="Y70" i="1" s="1"/>
  <c r="X58" i="1"/>
  <c r="Y58" i="1" s="1"/>
  <c r="X50" i="1"/>
  <c r="Y50" i="1" s="1"/>
  <c r="X42" i="1"/>
  <c r="Y42" i="1" s="1"/>
  <c r="X34" i="1"/>
  <c r="Y34" i="1" s="1"/>
  <c r="X32" i="1"/>
  <c r="Y32" i="1" s="1"/>
  <c r="X26" i="1"/>
  <c r="Y26" i="1" s="1"/>
  <c r="X18" i="1"/>
  <c r="Y18" i="1" s="1"/>
  <c r="X11" i="1"/>
  <c r="Y11" i="1" s="1"/>
  <c r="X10" i="1"/>
  <c r="Y10" i="1" s="1"/>
  <c r="X3" i="1"/>
  <c r="Y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<sst xmlns="http://schemas.openxmlformats.org/spreadsheetml/2006/main" count="125" uniqueCount="125">
  <si>
    <t>Student</t>
  </si>
  <si>
    <t>Assignment1</t>
  </si>
  <si>
    <t>Assignment2</t>
  </si>
  <si>
    <t>Assignment3</t>
  </si>
  <si>
    <t>Assignment4</t>
  </si>
  <si>
    <t>Assignment5</t>
  </si>
  <si>
    <t>Assignment6</t>
  </si>
  <si>
    <t>Assignment7</t>
  </si>
  <si>
    <t>Assignment8</t>
  </si>
  <si>
    <t>Assignment9</t>
  </si>
  <si>
    <t>Assignment10</t>
  </si>
  <si>
    <t>Assignment11</t>
  </si>
  <si>
    <t>Average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</si>
  <si>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</si>
  <si>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</si>
  <si>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</si>
  <si>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</si>
  <si>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</si>
  <si>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</si>
  <si>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</si>
  <si>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</si>
  <si>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</si>
  <si>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</si>
  <si>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</si>
  <si>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</si>
  <si>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</si>
  <si>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</si>
  <si>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</si>
  <si>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</si>
  <si>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</si>
  <si>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</si>
  <si>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</si>
  <si>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</si>
  <si>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</si>
  <si>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</si>
  <si>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</si>
  <si>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</si>
  <si>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</si>
  <si>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</si>
  <si>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</si>
  <si>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</si>
  <si>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</si>
  <si>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</si>
  <si>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</si>
  <si>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</si>
  <si>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</si>
  <si>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</si>
  <si>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</si>
  <si>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</si>
  <si>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</si>
  <si>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</si>
  <si>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</si>
  <si>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</si>
  <si>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</si>
  <si>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</si>
  <si>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</si>
  <si>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</si>
  <si>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</si>
  <si>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</si>
  <si>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</si>
  <si>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</si>
  <si>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</si>
  <si>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</si>
  <si>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</si>
  <si>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</si>
  <si>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</si>
  <si>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</si>
  <si>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</si>
  <si>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</si>
  <si>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</si>
  <si>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</si>
  <si>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</si>
  <si>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</si>
  <si>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</si>
  <si>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</si>
  <si>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</si>
  <si>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</si>
  <si>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</si>
  <si>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</si>
  <si>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</si>
  <si>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</si>
  <si>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</si>
  <si>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</si>
  <si>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</si>
  <si>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</si>
  <si>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</si>
  <si>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</si>
  <si>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</si>
  <si>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</si>
  <si>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</si>
  <si>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</si>
  <si>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</si>
  <si>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</si>
  <si>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</si>
  <si>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</si>
  <si>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</si>
  <si>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</si>
  <si>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</si>
  <si>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</si>
  <si>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</si>
  <si>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</si>
  <si>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</si>
  <si>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</si>
  <si>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</si>
  <si>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</si>
  <si>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</si>
  <si>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</si>
  <si>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</si>
  <si>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</si>
  <si>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</si>
  <si>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</si>
  <si>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</si>
  <si>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</si>
  <si>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max</t>
  </si>
  <si>
    <t>min</t>
  </si>
  <si>
    <t>paper1</t>
  </si>
  <si>
    <t>paper2</t>
  </si>
  <si>
    <t>midterm</t>
  </si>
  <si>
    <t>final</t>
  </si>
  <si>
    <t>assignment-weighted</t>
  </si>
  <si>
    <t>papers-weighted</t>
  </si>
  <si>
    <t>midterm-weighted</t>
  </si>
  <si>
    <t>final-weighted</t>
  </si>
  <si>
    <t>weighted-total</t>
  </si>
  <si>
    <t>pct-dif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</si>
</sst>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bookTable" displayName="GradebookTable" ref="A1:Y102" totalsRowCount="1">
  <autoFilter ref="A1:Y101" xr:uid="{00000000-0009-0000-0100-000001000000}"/>
  <tableColumns count="25">
    <tableColumn id="1" xr3:uid="{00000000-0010-0000-0000-000001000000}" name="Student"/>
    <tableColumn id="2" xr3:uid="{00000000-0010-0000-0000-000002000000}" name="Assignment1" totalsRowFunction="custom">
      <totalsRowFormula>AVERAGE(GradebookTable[Assignment10])</totalsRowFormula>
    </tableColumn>
    <tableColumn id="3" xr3:uid="{00000000-0010-0000-0000-000003000000}" name="Assignment2" totalsRowFunction="custom">
      <totalsRowFormula>AVERAGE(GradebookTable[Assignment11])</totalsRowFormula>
    </tableColumn>
    <tableColumn id="4" xr3:uid="{00000000-0010-0000-0000-000004000000}" name="Assignment3" totalsRowFunction="custom">
      <totalsRowFormula>AVERAGE(GradebookTable[paper1])</totalsRowFormula>
    </tableColumn>
    <tableColumn id="5" xr3:uid="{00000000-0010-0000-0000-000005000000}" name="Assignment4" totalsRowFunction="custom">
      <totalsRowFormula>AVERAGE(GradebookTable[Assignment10])</totalsRowFormula>
    </tableColumn>
    <tableColumn id="6" xr3:uid="{00000000-0010-0000-0000-000006000000}" name="Assignment5" totalsRowFunction="custom">
      <totalsRowFormula>AVERAGE(GradebookTable[Assignment11])</totalsRowFormula>
    </tableColumn>
    <tableColumn id="7" xr3:uid="{00000000-0010-0000-0000-000007000000}" name="Assignment6" totalsRowFunction="custom">
      <totalsRowFormula>AVERAGE(GradebookTable[paper1])</totalsRowFormula>
    </tableColumn>
    <tableColumn id="8" xr3:uid="{00000000-0010-0000-0000-000008000000}" name="Assignment7" totalsRowFunction="custom">
      <totalsRowFormula>AVERAGE(GradebookTable[paper2])</totalsRowFormula>
    </tableColumn>
    <tableColumn id="9" xr3:uid="{00000000-0010-0000-0000-000009000000}" name="Assignment8" totalsRowFunction="custom">
      <totalsRowFormula>AVERAGE(GradebookTable[Assignment11])</totalsRowFormula>
    </tableColumn>
    <tableColumn id="10" xr3:uid="{00000000-0010-0000-0000-00000A000000}" name="Assignment9" totalsRowFunction="custom">
      <totalsRowFormula>AVERAGE(GradebookTable[paper1])</totalsRowFormula>
    </tableColumn>
    <tableColumn id="11" xr3:uid="{00000000-0010-0000-0000-00000B000000}" name="Assignment10" totalsRowFunction="custom">
      <totalsRowFormula>AVERAGE(GradebookTable[paper2])</totalsRowFormula>
    </tableColumn>
    <tableColumn id="12" xr3:uid="{00000000-0010-0000-0000-00000C000000}" name="Assignment11" totalsRowFunction="custom">
      <totalsRowFormula>AVERAGE(GradebookTable[midterm])</totalsRowFormula>
    </tableColumn>
    <tableColumn id="13" xr3:uid="{00000000-0010-0000-0000-00000D000000}" name="paper1" totalsRowFunction="custom">
      <totalsRowFormula>AVERAGE(GradebookTable[paper1])</totalsRowFormula>
    </tableColumn>
    <tableColumn id="14" xr3:uid="{00000000-0010-0000-0000-00000E000000}" name="paper2" totalsRowFunction="custom">
      <totalsRowFormula>AVERAGE(GradebookTable[paper2])</totalsRowFormula>
    </tableColumn>
    <tableColumn id="15" xr3:uid="{00000000-0010-0000-0000-00000F000000}" name="midterm" totalsRowFunction="custom">
      <totalsRowFormula>AVERAGE(GradebookTable[midterm])</totalsRowFormula>
    </tableColumn>
    <tableColumn id="16" xr3:uid="{00000000-0010-0000-0000-000010000000}" name="final" totalsRowFunction="custom">
      <totalsRowFormula>AVERAGE(GradebookTable[final])</totalsRowFormula>
    </tableColumn>
    <tableColumn id="17" xr3:uid="{00000000-0010-0000-0000-000011000000}" name="Average" dataDxfId="17" totalsRowDxfId="16"/>
    <tableColumn id="20" xr3:uid="{E32C7581-2105-514C-A132-0F994B2DAE3D}" name="max" dataDxfId="15" totalsRowDxfId="14">
      <calculatedColumnFormula>MAX(GradebookTable[[#This Row],[Assignment1]:[final]])</calculatedColumnFormula>
    </tableColumn>
    <tableColumn id="21" xr3:uid="{7B20FFC2-B23D-9F46-88DA-57EAB9415DC0}" name="min" dataDxfId="13" totalsRowDxfId="12">
      <calculatedColumnFormula>MIN(GradebookTable[[#This Row],[Assignment1]:[final]])</calculatedColumnFormula>
    </tableColumn>
    <tableColumn id="23" xr3:uid="{6C87F1F2-14FD-1349-BA87-1B1D1F341690}" name="assignment-weighted" dataDxfId="11" totalsRowDxfId="10">
      <calculatedColumnFormula array="1">AVERAGE(GradebookTable[[#This Row],[Assignment1]:[Assignment11]]*0.3)</calculatedColumnFormula>
    </tableColumn>
    <tableColumn id="24" xr3:uid="{27EF5643-F58C-5B4E-BDA1-336F6C8F457E}" name="papers-weighted" dataDxfId="9" totalsRowDxfId="8">
      <calculatedColumnFormula array="1">AVERAGE(GradebookTable[[#This Row],[paper1]:[paper2]]*0.2)</calculatedColumnFormula>
    </tableColumn>
    <tableColumn id="25" xr3:uid="{84819165-394C-F346-9EE2-D88A51F0380C}" name="midterm-weighted" dataDxfId="7" totalsRowDxfId="6">
      <calculatedColumnFormula>GradebookTable[[#This Row],[midterm]]*0.2</calculatedColumnFormula>
    </tableColumn>
    <tableColumn id="26" xr3:uid="{8D28E8A7-ED8C-9942-B16F-FC070C1A1F19}" name="final-weighted" dataDxfId="5" totalsRowDxfId="4">
      <calculatedColumnFormula>GradebookTable[[#This Row],[final]]*0.3</calculatedColumnFormula>
    </tableColumn>
    <tableColumn id="27" xr3:uid="{12C649A0-9B70-6D41-9B3C-873C0E8CDE03}" name="weighted-total" dataDxfId="3" totalsRowDxfId="2">
      <calculatedColumnFormula>SUM(GradebookTable[[#This Row],[assignment-weighted]:[final-weighted]])</calculatedColumnFormula>
    </tableColumn>
    <tableColumn id="28" xr3:uid="{7661B45D-FD2C-E94F-9AD7-46D8264E398D}" name="pct-dif" dataDxfId="1" totalsRowDxfId="0">
      <calculatedColumnFormula>GradebookTable[[#This Row],[weighted-total]]-GradebookTable[[#This Row],[Average]]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topLeftCell="B1" workbookViewId="0">
      <selection activeCell="Z2" sqref="Z2"/>
    </sheetView>
  </sheetViews>
  <sheetFormatPr baseColWidth="10" defaultColWidth="8.83203125" defaultRowHeight="15" x14ac:dyDescent="0.2"/>
  <cols>
    <col min="1" max="1" width="12" customWidth="1"/>
    <col min="2" max="10" width="13" customWidth="1"/>
    <col min="11" max="16" width="14" customWidth="1"/>
    <col min="17" max="17" width="21" style="3" customWidth="1"/>
    <col min="18" max="25" width="8.83203125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115</v>
      </c>
      <c r="N1" s="1" t="s">
        <v>116</v>
      </c>
      <c r="O1" s="1" t="s">
        <v>117</v>
      </c>
      <c r="P1" s="1" t="s">
        <v>118</v>
      </c>
      <c r="Q1" s="2" t="s">
        <v>12</v>
      </c>
      <c r="R1" s="3" t="s">
        <v>113</v>
      </c>
      <c r="S1" s="3" t="s">
        <v>114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</row>
    <row r="2" spans="1:25" x14ac:dyDescent="0.2">
      <c r="A2" s="1" t="s">
        <v>13</v>
      </c>
      <c r="B2" s="1">
        <v>94</v>
      </c>
      <c r="C2" s="1">
        <v>39</v>
      </c>
      <c r="D2" s="1">
        <v>83</v>
      </c>
      <c r="E2" s="1">
        <v>82</v>
      </c>
      <c r="F2" s="1">
        <v>82</v>
      </c>
      <c r="G2" s="1">
        <v>47</v>
      </c>
      <c r="H2" s="1">
        <v>96</v>
      </c>
      <c r="I2" s="1">
        <v>80</v>
      </c>
      <c r="J2" s="1">
        <v>89</v>
      </c>
      <c r="K2" s="1">
        <v>95</v>
      </c>
      <c r="L2" s="1">
        <v>46</v>
      </c>
      <c r="M2" s="1">
        <v>64</v>
      </c>
      <c r="N2" s="1">
        <v>82</v>
      </c>
      <c r="O2" s="1">
        <v>89</v>
      </c>
      <c r="P2" s="1">
        <v>57</v>
      </c>
      <c r="Q2" s="2">
        <f>AVERAGE(B2:P2)</f>
        <v>75</v>
      </c>
      <c r="R2" s="3">
        <f>MAX(GradebookTable[[#This Row],[Assignment1]:[final]])</f>
        <v>96</v>
      </c>
      <c r="S2" s="3">
        <f>MIN(GradebookTable[[#This Row],[Assignment1]:[final]])</f>
        <v>39</v>
      </c>
      <c r="T2" s="3" cm="1">
        <f t="array" ref="T2">AVERAGE(GradebookTable[[#This Row],[Assignment1]:[Assignment11]]*0.3)</f>
        <v>22.718181818181815</v>
      </c>
      <c r="U2" s="3" cm="1">
        <f t="array" ref="U2">AVERAGE(GradebookTable[[#This Row],[paper1]:[paper2]]*0.2)</f>
        <v>14.600000000000001</v>
      </c>
      <c r="V2" s="3">
        <f>GradebookTable[[#This Row],[midterm]]*0.2</f>
        <v>17.8</v>
      </c>
      <c r="W2" s="3">
        <f>GradebookTable[[#This Row],[final]]*0.3</f>
        <v>17.099999999999998</v>
      </c>
      <c r="X2" s="3">
        <f>SUM(GradebookTable[[#This Row],[assignment-weighted]:[final-weighted]])</f>
        <v>72.218181818181804</v>
      </c>
      <c r="Y2" s="3">
        <f>GradebookTable[[#This Row],[weighted-total]]-GradebookTable[[#This Row],[Average]]</f>
        <v>-2.7818181818181955</v>
      </c>
    </row>
    <row r="3" spans="1:25" x14ac:dyDescent="0.2">
      <c r="A3" s="1" t="s">
        <v>14</v>
      </c>
      <c r="B3" s="1">
        <v>77</v>
      </c>
      <c r="C3" s="1">
        <v>81</v>
      </c>
      <c r="D3" s="1">
        <v>77</v>
      </c>
      <c r="E3" s="1">
        <v>93</v>
      </c>
      <c r="F3" s="1">
        <v>85</v>
      </c>
      <c r="G3" s="1">
        <v>54</v>
      </c>
      <c r="H3" s="1">
        <v>75</v>
      </c>
      <c r="I3" s="1">
        <v>56</v>
      </c>
      <c r="J3" s="1">
        <v>30</v>
      </c>
      <c r="K3" s="1">
        <v>27</v>
      </c>
      <c r="L3" s="1">
        <v>96</v>
      </c>
      <c r="M3" s="1">
        <v>92</v>
      </c>
      <c r="N3" s="1">
        <v>99</v>
      </c>
      <c r="O3" s="1">
        <v>87</v>
      </c>
      <c r="P3" s="1">
        <v>96</v>
      </c>
      <c r="Q3" s="2">
        <f>AVERAGE(B3:P3)</f>
        <v>75</v>
      </c>
      <c r="R3" s="3">
        <f>MAX(GradebookTable[[#This Row],[Assignment1]:[final]])</f>
        <v>99</v>
      </c>
      <c r="S3" s="3">
        <f>MIN(GradebookTable[[#This Row],[Assignment1]:[final]])</f>
        <v>27</v>
      </c>
      <c r="T3" s="3" cm="1">
        <f t="array" ref="T3">AVERAGE(GradebookTable[[#This Row],[Assignment1]:[Assignment11]]*0.3)</f>
        <v>20.481818181818184</v>
      </c>
      <c r="U3" s="3" cm="1">
        <f t="array" ref="U3">AVERAGE(GradebookTable[[#This Row],[paper1]:[paper2]]*0.2)</f>
        <v>19.100000000000001</v>
      </c>
      <c r="V3" s="3">
        <f>GradebookTable[[#This Row],[midterm]]*0.2</f>
        <v>17.400000000000002</v>
      </c>
      <c r="W3" s="3">
        <f>GradebookTable[[#This Row],[final]]*0.3</f>
        <v>28.799999999999997</v>
      </c>
      <c r="X3" s="3">
        <f>SUM(GradebookTable[[#This Row],[assignment-weighted]:[final-weighted]])</f>
        <v>85.781818181818181</v>
      </c>
      <c r="Y3" s="3">
        <f>GradebookTable[[#This Row],[weighted-total]]-GradebookTable[[#This Row],[Average]]</f>
        <v>10.781818181818181</v>
      </c>
    </row>
    <row r="4" spans="1:25" x14ac:dyDescent="0.2">
      <c r="A4" s="1" t="s">
        <v>15</v>
      </c>
      <c r="B4" s="1">
        <v>89</v>
      </c>
      <c r="C4" s="1">
        <v>40</v>
      </c>
      <c r="D4" s="1">
        <v>99</v>
      </c>
      <c r="E4" s="1">
        <v>84</v>
      </c>
      <c r="F4" s="1">
        <v>87</v>
      </c>
      <c r="G4" s="1">
        <v>63</v>
      </c>
      <c r="H4" s="1">
        <v>37</v>
      </c>
      <c r="I4" s="1">
        <v>77</v>
      </c>
      <c r="J4" s="1">
        <v>91</v>
      </c>
      <c r="K4" s="1">
        <v>91</v>
      </c>
      <c r="L4" s="1">
        <v>52</v>
      </c>
      <c r="M4" s="1">
        <v>69</v>
      </c>
      <c r="N4" s="1">
        <v>99</v>
      </c>
      <c r="O4" s="1">
        <v>99</v>
      </c>
      <c r="P4" s="1">
        <v>48</v>
      </c>
      <c r="Q4" s="2">
        <f>AVERAGE(B4:P4)</f>
        <v>75</v>
      </c>
      <c r="R4" s="3">
        <f>MAX(GradebookTable[[#This Row],[Assignment1]:[final]])</f>
        <v>99</v>
      </c>
      <c r="S4" s="3">
        <f>MIN(GradebookTable[[#This Row],[Assignment1]:[final]])</f>
        <v>37</v>
      </c>
      <c r="T4" s="3" cm="1">
        <f t="array" ref="T4">AVERAGE(GradebookTable[[#This Row],[Assignment1]:[Assignment11]]*0.3)</f>
        <v>22.09090909090909</v>
      </c>
      <c r="U4" s="3" cm="1">
        <f t="array" ref="U4">AVERAGE(GradebookTable[[#This Row],[paper1]:[paper2]]*0.2)</f>
        <v>16.8</v>
      </c>
      <c r="V4" s="3">
        <f>GradebookTable[[#This Row],[midterm]]*0.2</f>
        <v>19.8</v>
      </c>
      <c r="W4" s="3">
        <f>GradebookTable[[#This Row],[final]]*0.3</f>
        <v>14.399999999999999</v>
      </c>
      <c r="X4" s="3">
        <f>SUM(GradebookTable[[#This Row],[assignment-weighted]:[final-weighted]])</f>
        <v>73.090909090909093</v>
      </c>
      <c r="Y4" s="3">
        <f>GradebookTable[[#This Row],[weighted-total]]-GradebookTable[[#This Row],[Average]]</f>
        <v>-1.9090909090909065</v>
      </c>
    </row>
    <row r="5" spans="1:25" x14ac:dyDescent="0.2">
      <c r="A5" s="1" t="s">
        <v>16</v>
      </c>
      <c r="B5" s="1">
        <v>75</v>
      </c>
      <c r="C5" s="1">
        <v>85</v>
      </c>
      <c r="D5" s="1">
        <v>91</v>
      </c>
      <c r="E5" s="1">
        <v>75</v>
      </c>
      <c r="F5" s="1">
        <v>48</v>
      </c>
      <c r="G5" s="1">
        <v>87</v>
      </c>
      <c r="H5" s="1">
        <v>86</v>
      </c>
      <c r="I5" s="1">
        <v>79</v>
      </c>
      <c r="J5" s="1">
        <v>74</v>
      </c>
      <c r="K5" s="1">
        <v>60</v>
      </c>
      <c r="L5" s="1">
        <v>63</v>
      </c>
      <c r="M5" s="1">
        <v>87</v>
      </c>
      <c r="N5" s="1">
        <v>95</v>
      </c>
      <c r="O5" s="1">
        <v>25</v>
      </c>
      <c r="P5" s="1">
        <v>95</v>
      </c>
      <c r="Q5" s="2">
        <f>AVERAGE(B5:P5)</f>
        <v>75</v>
      </c>
      <c r="R5" s="3">
        <f>MAX(GradebookTable[[#This Row],[Assignment1]:[final]])</f>
        <v>95</v>
      </c>
      <c r="S5" s="3">
        <f>MIN(GradebookTable[[#This Row],[Assignment1]:[final]])</f>
        <v>25</v>
      </c>
      <c r="T5" s="3" cm="1">
        <f t="array" ref="T5">AVERAGE(GradebookTable[[#This Row],[Assignment1]:[Assignment11]]*0.3)</f>
        <v>22.445454545454542</v>
      </c>
      <c r="U5" s="3" cm="1">
        <f t="array" ref="U5">AVERAGE(GradebookTable[[#This Row],[paper1]:[paper2]]*0.2)</f>
        <v>18.200000000000003</v>
      </c>
      <c r="V5" s="3">
        <f>GradebookTable[[#This Row],[midterm]]*0.2</f>
        <v>5</v>
      </c>
      <c r="W5" s="3">
        <f>GradebookTable[[#This Row],[final]]*0.3</f>
        <v>28.5</v>
      </c>
      <c r="X5" s="3">
        <f>SUM(GradebookTable[[#This Row],[assignment-weighted]:[final-weighted]])</f>
        <v>74.145454545454541</v>
      </c>
      <c r="Y5" s="3">
        <f>GradebookTable[[#This Row],[weighted-total]]-GradebookTable[[#This Row],[Average]]</f>
        <v>-0.85454545454545894</v>
      </c>
    </row>
    <row r="6" spans="1:25" x14ac:dyDescent="0.2">
      <c r="A6" s="1" t="s">
        <v>17</v>
      </c>
      <c r="B6" s="1">
        <v>54</v>
      </c>
      <c r="C6" s="1">
        <v>91</v>
      </c>
      <c r="D6" s="1">
        <v>76</v>
      </c>
      <c r="E6" s="1">
        <v>60</v>
      </c>
      <c r="F6" s="1">
        <v>75</v>
      </c>
      <c r="G6" s="1">
        <v>49</v>
      </c>
      <c r="H6" s="1">
        <v>95</v>
      </c>
      <c r="I6" s="1">
        <v>58</v>
      </c>
      <c r="J6" s="1">
        <v>84</v>
      </c>
      <c r="K6" s="1">
        <v>49</v>
      </c>
      <c r="L6" s="1">
        <v>80</v>
      </c>
      <c r="M6" s="1">
        <v>89</v>
      </c>
      <c r="N6" s="1">
        <v>92</v>
      </c>
      <c r="O6" s="1">
        <v>92</v>
      </c>
      <c r="P6" s="1">
        <v>81</v>
      </c>
      <c r="Q6" s="2">
        <f>AVERAGE(B6:P6)</f>
        <v>75</v>
      </c>
      <c r="R6" s="3">
        <f>MAX(GradebookTable[[#This Row],[Assignment1]:[final]])</f>
        <v>95</v>
      </c>
      <c r="S6" s="3">
        <f>MIN(GradebookTable[[#This Row],[Assignment1]:[final]])</f>
        <v>49</v>
      </c>
      <c r="T6" s="3" cm="1">
        <f t="array" ref="T6">AVERAGE(GradebookTable[[#This Row],[Assignment1]:[Assignment11]]*0.3)</f>
        <v>21.027272727272727</v>
      </c>
      <c r="U6" s="3" cm="1">
        <f t="array" ref="U6">AVERAGE(GradebookTable[[#This Row],[paper1]:[paper2]]*0.2)</f>
        <v>18.100000000000001</v>
      </c>
      <c r="V6" s="3">
        <f>GradebookTable[[#This Row],[midterm]]*0.2</f>
        <v>18.400000000000002</v>
      </c>
      <c r="W6" s="3">
        <f>GradebookTable[[#This Row],[final]]*0.3</f>
        <v>24.3</v>
      </c>
      <c r="X6" s="3">
        <f>SUM(GradebookTable[[#This Row],[assignment-weighted]:[final-weighted]])</f>
        <v>81.827272727272728</v>
      </c>
      <c r="Y6" s="3">
        <f>GradebookTable[[#This Row],[weighted-total]]-GradebookTable[[#This Row],[Average]]</f>
        <v>6.827272727272728</v>
      </c>
    </row>
    <row r="7" spans="1:25" x14ac:dyDescent="0.2">
      <c r="A7" s="1" t="s">
        <v>18</v>
      </c>
      <c r="B7" s="1">
        <v>85</v>
      </c>
      <c r="C7" s="1">
        <v>35</v>
      </c>
      <c r="D7" s="1">
        <v>69</v>
      </c>
      <c r="E7" s="1">
        <v>65</v>
      </c>
      <c r="F7" s="1">
        <v>90</v>
      </c>
      <c r="G7" s="1">
        <v>51</v>
      </c>
      <c r="H7" s="1">
        <v>89</v>
      </c>
      <c r="I7" s="1">
        <v>83</v>
      </c>
      <c r="J7" s="1">
        <v>54</v>
      </c>
      <c r="K7" s="1">
        <v>50</v>
      </c>
      <c r="L7" s="1">
        <v>92</v>
      </c>
      <c r="M7" s="1">
        <v>75</v>
      </c>
      <c r="N7" s="1">
        <v>95</v>
      </c>
      <c r="O7" s="1">
        <v>93</v>
      </c>
      <c r="P7" s="1">
        <v>99</v>
      </c>
      <c r="Q7" s="2">
        <f>AVERAGE(B7:P7)</f>
        <v>75</v>
      </c>
      <c r="R7" s="3">
        <f>MAX(GradebookTable[[#This Row],[Assignment1]:[final]])</f>
        <v>99</v>
      </c>
      <c r="S7" s="3">
        <f>MIN(GradebookTable[[#This Row],[Assignment1]:[final]])</f>
        <v>35</v>
      </c>
      <c r="T7" s="3" cm="1">
        <f t="array" ref="T7">AVERAGE(GradebookTable[[#This Row],[Assignment1]:[Assignment11]]*0.3)</f>
        <v>20.809090909090909</v>
      </c>
      <c r="U7" s="3" cm="1">
        <f t="array" ref="U7">AVERAGE(GradebookTable[[#This Row],[paper1]:[paper2]]*0.2)</f>
        <v>17</v>
      </c>
      <c r="V7" s="3">
        <f>GradebookTable[[#This Row],[midterm]]*0.2</f>
        <v>18.600000000000001</v>
      </c>
      <c r="W7" s="3">
        <f>GradebookTable[[#This Row],[final]]*0.3</f>
        <v>29.7</v>
      </c>
      <c r="X7" s="3">
        <f>SUM(GradebookTable[[#This Row],[assignment-weighted]:[final-weighted]])</f>
        <v>86.109090909090909</v>
      </c>
      <c r="Y7" s="3">
        <f>GradebookTable[[#This Row],[weighted-total]]-GradebookTable[[#This Row],[Average]]</f>
        <v>11.109090909090909</v>
      </c>
    </row>
    <row r="8" spans="1:25" x14ac:dyDescent="0.2">
      <c r="A8" s="1" t="s">
        <v>19</v>
      </c>
      <c r="B8" s="1">
        <v>83</v>
      </c>
      <c r="C8" s="1">
        <v>80</v>
      </c>
      <c r="D8" s="1">
        <v>28</v>
      </c>
      <c r="E8" s="1">
        <v>48</v>
      </c>
      <c r="F8" s="1">
        <v>95</v>
      </c>
      <c r="G8" s="1">
        <v>78</v>
      </c>
      <c r="H8" s="1">
        <v>70</v>
      </c>
      <c r="I8" s="1">
        <v>99</v>
      </c>
      <c r="J8" s="1">
        <v>50</v>
      </c>
      <c r="K8" s="1">
        <v>54</v>
      </c>
      <c r="L8" s="1">
        <v>86</v>
      </c>
      <c r="M8" s="1">
        <v>84</v>
      </c>
      <c r="N8" s="1">
        <v>91</v>
      </c>
      <c r="O8" s="1">
        <v>95</v>
      </c>
      <c r="P8" s="1">
        <v>84</v>
      </c>
      <c r="Q8" s="2">
        <f>AVERAGE(B8:P8)</f>
        <v>75</v>
      </c>
      <c r="R8" s="3">
        <f>MAX(GradebookTable[[#This Row],[Assignment1]:[final]])</f>
        <v>99</v>
      </c>
      <c r="S8" s="3">
        <f>MIN(GradebookTable[[#This Row],[Assignment1]:[final]])</f>
        <v>28</v>
      </c>
      <c r="T8" s="3" cm="1">
        <f t="array" ref="T8">AVERAGE(GradebookTable[[#This Row],[Assignment1]:[Assignment11]]*0.3)</f>
        <v>21.027272727272727</v>
      </c>
      <c r="U8" s="3" cm="1">
        <f t="array" ref="U8">AVERAGE(GradebookTable[[#This Row],[paper1]:[paper2]]*0.2)</f>
        <v>17.5</v>
      </c>
      <c r="V8" s="3">
        <f>GradebookTable[[#This Row],[midterm]]*0.2</f>
        <v>19</v>
      </c>
      <c r="W8" s="3">
        <f>GradebookTable[[#This Row],[final]]*0.3</f>
        <v>25.2</v>
      </c>
      <c r="X8" s="3">
        <f>SUM(GradebookTable[[#This Row],[assignment-weighted]:[final-weighted]])</f>
        <v>82.727272727272734</v>
      </c>
      <c r="Y8" s="3">
        <f>GradebookTable[[#This Row],[weighted-total]]-GradebookTable[[#This Row],[Average]]</f>
        <v>7.7272727272727337</v>
      </c>
    </row>
    <row r="9" spans="1:25" x14ac:dyDescent="0.2">
      <c r="A9" s="1" t="s">
        <v>20</v>
      </c>
      <c r="B9" s="1">
        <v>99</v>
      </c>
      <c r="C9" s="1">
        <v>91</v>
      </c>
      <c r="D9" s="1">
        <v>78</v>
      </c>
      <c r="E9" s="1">
        <v>58</v>
      </c>
      <c r="F9" s="1">
        <v>81</v>
      </c>
      <c r="G9" s="1">
        <v>96</v>
      </c>
      <c r="H9" s="1">
        <v>61</v>
      </c>
      <c r="I9" s="1">
        <v>30</v>
      </c>
      <c r="J9" s="1">
        <v>56</v>
      </c>
      <c r="K9" s="1">
        <v>30</v>
      </c>
      <c r="L9" s="1">
        <v>96</v>
      </c>
      <c r="M9" s="1">
        <v>87</v>
      </c>
      <c r="N9" s="1">
        <v>97</v>
      </c>
      <c r="O9" s="1">
        <v>91</v>
      </c>
      <c r="P9" s="1">
        <v>74</v>
      </c>
      <c r="Q9" s="2">
        <f>AVERAGE(B9:P9)</f>
        <v>75</v>
      </c>
      <c r="R9" s="3">
        <f>MAX(GradebookTable[[#This Row],[Assignment1]:[final]])</f>
        <v>99</v>
      </c>
      <c r="S9" s="3">
        <f>MIN(GradebookTable[[#This Row],[Assignment1]:[final]])</f>
        <v>30</v>
      </c>
      <c r="T9" s="3" cm="1">
        <f t="array" ref="T9">AVERAGE(GradebookTable[[#This Row],[Assignment1]:[Assignment11]]*0.3)</f>
        <v>21.163636363636364</v>
      </c>
      <c r="U9" s="3" cm="1">
        <f t="array" ref="U9">AVERAGE(GradebookTable[[#This Row],[paper1]:[paper2]]*0.2)</f>
        <v>18.400000000000002</v>
      </c>
      <c r="V9" s="3">
        <f>GradebookTable[[#This Row],[midterm]]*0.2</f>
        <v>18.2</v>
      </c>
      <c r="W9" s="3">
        <f>GradebookTable[[#This Row],[final]]*0.3</f>
        <v>22.2</v>
      </c>
      <c r="X9" s="3">
        <f>SUM(GradebookTable[[#This Row],[assignment-weighted]:[final-weighted]])</f>
        <v>79.963636363636368</v>
      </c>
      <c r="Y9" s="3">
        <f>GradebookTable[[#This Row],[weighted-total]]-GradebookTable[[#This Row],[Average]]</f>
        <v>4.9636363636363683</v>
      </c>
    </row>
    <row r="10" spans="1:25" x14ac:dyDescent="0.2">
      <c r="A10" s="1" t="s">
        <v>21</v>
      </c>
      <c r="B10" s="1">
        <v>98</v>
      </c>
      <c r="C10" s="1">
        <v>83</v>
      </c>
      <c r="D10" s="1">
        <v>83</v>
      </c>
      <c r="E10" s="1">
        <v>81</v>
      </c>
      <c r="F10" s="1">
        <v>70</v>
      </c>
      <c r="G10" s="1">
        <v>51</v>
      </c>
      <c r="H10" s="1">
        <v>99</v>
      </c>
      <c r="I10" s="1">
        <v>43</v>
      </c>
      <c r="J10" s="1">
        <v>58</v>
      </c>
      <c r="K10" s="1">
        <v>43</v>
      </c>
      <c r="L10" s="1">
        <v>66</v>
      </c>
      <c r="M10" s="1">
        <v>99</v>
      </c>
      <c r="N10" s="1">
        <v>86</v>
      </c>
      <c r="O10" s="1">
        <v>68</v>
      </c>
      <c r="P10" s="1">
        <v>97</v>
      </c>
      <c r="Q10" s="2">
        <f>AVERAGE(B10:P10)</f>
        <v>75</v>
      </c>
      <c r="R10" s="3">
        <f>MAX(GradebookTable[[#This Row],[Assignment1]:[final]])</f>
        <v>99</v>
      </c>
      <c r="S10" s="3">
        <f>MIN(GradebookTable[[#This Row],[Assignment1]:[final]])</f>
        <v>43</v>
      </c>
      <c r="T10" s="3" cm="1">
        <f t="array" ref="T10">AVERAGE(GradebookTable[[#This Row],[Assignment1]:[Assignment11]]*0.3)</f>
        <v>21.136363636363637</v>
      </c>
      <c r="U10" s="3" cm="1">
        <f t="array" ref="U10">AVERAGE(GradebookTable[[#This Row],[paper1]:[paper2]]*0.2)</f>
        <v>18.5</v>
      </c>
      <c r="V10" s="3">
        <f>GradebookTable[[#This Row],[midterm]]*0.2</f>
        <v>13.600000000000001</v>
      </c>
      <c r="W10" s="3">
        <f>GradebookTable[[#This Row],[final]]*0.3</f>
        <v>29.099999999999998</v>
      </c>
      <c r="X10" s="3">
        <f>SUM(GradebookTable[[#This Row],[assignment-weighted]:[final-weighted]])</f>
        <v>82.336363636363643</v>
      </c>
      <c r="Y10" s="3">
        <f>GradebookTable[[#This Row],[weighted-total]]-GradebookTable[[#This Row],[Average]]</f>
        <v>7.3363636363636431</v>
      </c>
    </row>
    <row r="11" spans="1:25" x14ac:dyDescent="0.2">
      <c r="A11" s="1" t="s">
        <v>22</v>
      </c>
      <c r="B11" s="1">
        <v>48</v>
      </c>
      <c r="C11" s="1">
        <v>75</v>
      </c>
      <c r="D11" s="1">
        <v>81</v>
      </c>
      <c r="E11" s="1">
        <v>40</v>
      </c>
      <c r="F11" s="1">
        <v>94</v>
      </c>
      <c r="G11" s="1">
        <v>85</v>
      </c>
      <c r="H11" s="1">
        <v>52</v>
      </c>
      <c r="I11" s="1">
        <v>48</v>
      </c>
      <c r="J11" s="1">
        <v>86</v>
      </c>
      <c r="K11" s="1">
        <v>80</v>
      </c>
      <c r="L11" s="1">
        <v>89</v>
      </c>
      <c r="M11" s="1">
        <v>81</v>
      </c>
      <c r="N11" s="1">
        <v>89</v>
      </c>
      <c r="O11" s="1">
        <v>85</v>
      </c>
      <c r="P11" s="1">
        <v>92</v>
      </c>
      <c r="Q11" s="2">
        <f>AVERAGE(B11:P11)</f>
        <v>75</v>
      </c>
      <c r="R11" s="3">
        <f>MAX(GradebookTable[[#This Row],[Assignment1]:[final]])</f>
        <v>94</v>
      </c>
      <c r="S11" s="3">
        <f>MIN(GradebookTable[[#This Row],[Assignment1]:[final]])</f>
        <v>40</v>
      </c>
      <c r="T11" s="3" cm="1">
        <f t="array" ref="T11">AVERAGE(GradebookTable[[#This Row],[Assignment1]:[Assignment11]]*0.3)</f>
        <v>21.218181818181819</v>
      </c>
      <c r="U11" s="3" cm="1">
        <f t="array" ref="U11">AVERAGE(GradebookTable[[#This Row],[paper1]:[paper2]]*0.2)</f>
        <v>17</v>
      </c>
      <c r="V11" s="3">
        <f>GradebookTable[[#This Row],[midterm]]*0.2</f>
        <v>17</v>
      </c>
      <c r="W11" s="3">
        <f>GradebookTable[[#This Row],[final]]*0.3</f>
        <v>27.599999999999998</v>
      </c>
      <c r="X11" s="3">
        <f>SUM(GradebookTable[[#This Row],[assignment-weighted]:[final-weighted]])</f>
        <v>82.818181818181813</v>
      </c>
      <c r="Y11" s="3">
        <f>GradebookTable[[#This Row],[weighted-total]]-GradebookTable[[#This Row],[Average]]</f>
        <v>7.818181818181813</v>
      </c>
    </row>
    <row r="12" spans="1:25" x14ac:dyDescent="0.2">
      <c r="A12" s="1" t="s">
        <v>23</v>
      </c>
      <c r="B12" s="1">
        <v>77</v>
      </c>
      <c r="C12" s="1">
        <v>38</v>
      </c>
      <c r="D12" s="1">
        <v>99</v>
      </c>
      <c r="E12" s="1">
        <v>82</v>
      </c>
      <c r="F12" s="1">
        <v>91</v>
      </c>
      <c r="G12" s="1">
        <v>37</v>
      </c>
      <c r="H12" s="1">
        <v>78</v>
      </c>
      <c r="I12" s="1">
        <v>94</v>
      </c>
      <c r="J12" s="1">
        <v>92</v>
      </c>
      <c r="K12" s="1">
        <v>43</v>
      </c>
      <c r="L12" s="1">
        <v>91</v>
      </c>
      <c r="M12" s="1">
        <v>92</v>
      </c>
      <c r="N12" s="1">
        <v>87</v>
      </c>
      <c r="O12" s="1">
        <v>69</v>
      </c>
      <c r="P12" s="1">
        <v>55</v>
      </c>
      <c r="Q12" s="2">
        <f>AVERAGE(B12:P12)</f>
        <v>75</v>
      </c>
      <c r="R12" s="3">
        <f>MAX(GradebookTable[[#This Row],[Assignment1]:[final]])</f>
        <v>99</v>
      </c>
      <c r="S12" s="3">
        <f>MIN(GradebookTable[[#This Row],[Assignment1]:[final]])</f>
        <v>37</v>
      </c>
      <c r="T12" s="3" cm="1">
        <f t="array" ref="T12">AVERAGE(GradebookTable[[#This Row],[Assignment1]:[Assignment11]]*0.3)</f>
        <v>22.418181818181818</v>
      </c>
      <c r="U12" s="3" cm="1">
        <f t="array" ref="U12">AVERAGE(GradebookTable[[#This Row],[paper1]:[paper2]]*0.2)</f>
        <v>17.900000000000002</v>
      </c>
      <c r="V12" s="3">
        <f>GradebookTable[[#This Row],[midterm]]*0.2</f>
        <v>13.8</v>
      </c>
      <c r="W12" s="3">
        <f>GradebookTable[[#This Row],[final]]*0.3</f>
        <v>16.5</v>
      </c>
      <c r="X12" s="3">
        <f>SUM(GradebookTable[[#This Row],[assignment-weighted]:[final-weighted]])</f>
        <v>70.618181818181824</v>
      </c>
      <c r="Y12" s="3">
        <f>GradebookTable[[#This Row],[weighted-total]]-GradebookTable[[#This Row],[Average]]</f>
        <v>-4.3818181818181756</v>
      </c>
    </row>
    <row r="13" spans="1:25" x14ac:dyDescent="0.2">
      <c r="A13" s="1" t="s">
        <v>24</v>
      </c>
      <c r="B13" s="1">
        <v>87</v>
      </c>
      <c r="C13" s="1">
        <v>60</v>
      </c>
      <c r="D13" s="1">
        <v>76</v>
      </c>
      <c r="E13" s="1">
        <v>95</v>
      </c>
      <c r="F13" s="1">
        <v>64</v>
      </c>
      <c r="G13" s="1">
        <v>60</v>
      </c>
      <c r="H13" s="1">
        <v>4</v>
      </c>
      <c r="I13" s="1">
        <v>78</v>
      </c>
      <c r="J13" s="1">
        <v>83</v>
      </c>
      <c r="K13" s="1">
        <v>99</v>
      </c>
      <c r="L13" s="1">
        <v>71</v>
      </c>
      <c r="M13" s="1">
        <v>88</v>
      </c>
      <c r="N13" s="1">
        <v>94</v>
      </c>
      <c r="O13" s="1">
        <v>98</v>
      </c>
      <c r="P13" s="1">
        <v>68</v>
      </c>
      <c r="Q13" s="2">
        <f>AVERAGE(B13:P13)</f>
        <v>75</v>
      </c>
      <c r="R13" s="3">
        <f>MAX(GradebookTable[[#This Row],[Assignment1]:[final]])</f>
        <v>99</v>
      </c>
      <c r="S13" s="3">
        <f>MIN(GradebookTable[[#This Row],[Assignment1]:[final]])</f>
        <v>4</v>
      </c>
      <c r="T13" s="3" cm="1">
        <f t="array" ref="T13">AVERAGE(GradebookTable[[#This Row],[Assignment1]:[Assignment11]]*0.3)</f>
        <v>21.190909090909091</v>
      </c>
      <c r="U13" s="3" cm="1">
        <f t="array" ref="U13">AVERAGE(GradebookTable[[#This Row],[paper1]:[paper2]]*0.2)</f>
        <v>18.200000000000003</v>
      </c>
      <c r="V13" s="3">
        <f>GradebookTable[[#This Row],[midterm]]*0.2</f>
        <v>19.600000000000001</v>
      </c>
      <c r="W13" s="3">
        <f>GradebookTable[[#This Row],[final]]*0.3</f>
        <v>20.399999999999999</v>
      </c>
      <c r="X13" s="3">
        <f>SUM(GradebookTable[[#This Row],[assignment-weighted]:[final-weighted]])</f>
        <v>79.390909090909091</v>
      </c>
      <c r="Y13" s="3">
        <f>GradebookTable[[#This Row],[weighted-total]]-GradebookTable[[#This Row],[Average]]</f>
        <v>4.3909090909090907</v>
      </c>
    </row>
    <row r="14" spans="1:25" x14ac:dyDescent="0.2">
      <c r="A14" s="1" t="s">
        <v>25</v>
      </c>
      <c r="B14" s="1">
        <v>92</v>
      </c>
      <c r="C14" s="1">
        <v>71</v>
      </c>
      <c r="D14" s="1">
        <v>77</v>
      </c>
      <c r="E14" s="1">
        <v>58</v>
      </c>
      <c r="F14" s="1">
        <v>91</v>
      </c>
      <c r="G14" s="1">
        <v>89</v>
      </c>
      <c r="H14" s="1">
        <v>91</v>
      </c>
      <c r="I14" s="1">
        <v>32</v>
      </c>
      <c r="J14" s="1">
        <v>65</v>
      </c>
      <c r="K14" s="1">
        <v>5</v>
      </c>
      <c r="L14" s="1">
        <v>88</v>
      </c>
      <c r="M14" s="1">
        <v>95</v>
      </c>
      <c r="N14" s="1">
        <v>84</v>
      </c>
      <c r="O14" s="1">
        <v>88</v>
      </c>
      <c r="P14" s="1">
        <v>99</v>
      </c>
      <c r="Q14" s="2">
        <f>AVERAGE(B14:P14)</f>
        <v>75</v>
      </c>
      <c r="R14" s="3">
        <f>MAX(GradebookTable[[#This Row],[Assignment1]:[final]])</f>
        <v>99</v>
      </c>
      <c r="S14" s="3">
        <f>MIN(GradebookTable[[#This Row],[Assignment1]:[final]])</f>
        <v>5</v>
      </c>
      <c r="T14" s="3" cm="1">
        <f t="array" ref="T14">AVERAGE(GradebookTable[[#This Row],[Assignment1]:[Assignment11]]*0.3)</f>
        <v>20.700000000000003</v>
      </c>
      <c r="U14" s="3" cm="1">
        <f t="array" ref="U14">AVERAGE(GradebookTable[[#This Row],[paper1]:[paper2]]*0.2)</f>
        <v>17.899999999999999</v>
      </c>
      <c r="V14" s="3">
        <f>GradebookTable[[#This Row],[midterm]]*0.2</f>
        <v>17.600000000000001</v>
      </c>
      <c r="W14" s="3">
        <f>GradebookTable[[#This Row],[final]]*0.3</f>
        <v>29.7</v>
      </c>
      <c r="X14" s="3">
        <f>SUM(GradebookTable[[#This Row],[assignment-weighted]:[final-weighted]])</f>
        <v>85.9</v>
      </c>
      <c r="Y14" s="3">
        <f>GradebookTable[[#This Row],[weighted-total]]-GradebookTable[[#This Row],[Average]]</f>
        <v>10.900000000000006</v>
      </c>
    </row>
    <row r="15" spans="1:25" x14ac:dyDescent="0.2">
      <c r="A15" s="1" t="s">
        <v>26</v>
      </c>
      <c r="B15" s="1">
        <v>90</v>
      </c>
      <c r="C15" s="1">
        <v>88</v>
      </c>
      <c r="D15" s="1">
        <v>46</v>
      </c>
      <c r="E15" s="1">
        <v>79</v>
      </c>
      <c r="F15" s="1">
        <v>70</v>
      </c>
      <c r="G15" s="1">
        <v>98</v>
      </c>
      <c r="H15" s="1">
        <v>17</v>
      </c>
      <c r="I15" s="1">
        <v>83</v>
      </c>
      <c r="J15" s="1">
        <v>42</v>
      </c>
      <c r="K15" s="1">
        <v>90</v>
      </c>
      <c r="L15" s="1">
        <v>83</v>
      </c>
      <c r="M15" s="1">
        <v>76</v>
      </c>
      <c r="N15" s="1">
        <v>99</v>
      </c>
      <c r="O15" s="1">
        <v>86</v>
      </c>
      <c r="P15" s="1">
        <v>78</v>
      </c>
      <c r="Q15" s="2">
        <f>AVERAGE(B15:P15)</f>
        <v>75</v>
      </c>
      <c r="R15" s="3">
        <f>MAX(GradebookTable[[#This Row],[Assignment1]:[final]])</f>
        <v>99</v>
      </c>
      <c r="S15" s="3">
        <f>MIN(GradebookTable[[#This Row],[Assignment1]:[final]])</f>
        <v>17</v>
      </c>
      <c r="T15" s="3" cm="1">
        <f t="array" ref="T15">AVERAGE(GradebookTable[[#This Row],[Assignment1]:[Assignment11]]*0.3)</f>
        <v>21.436363636363637</v>
      </c>
      <c r="U15" s="3" cm="1">
        <f t="array" ref="U15">AVERAGE(GradebookTable[[#This Row],[paper1]:[paper2]]*0.2)</f>
        <v>17.5</v>
      </c>
      <c r="V15" s="3">
        <f>GradebookTable[[#This Row],[midterm]]*0.2</f>
        <v>17.2</v>
      </c>
      <c r="W15" s="3">
        <f>GradebookTable[[#This Row],[final]]*0.3</f>
        <v>23.4</v>
      </c>
      <c r="X15" s="3">
        <f>SUM(GradebookTable[[#This Row],[assignment-weighted]:[final-weighted]])</f>
        <v>79.536363636363632</v>
      </c>
      <c r="Y15" s="3">
        <f>GradebookTable[[#This Row],[weighted-total]]-GradebookTable[[#This Row],[Average]]</f>
        <v>4.5363636363636317</v>
      </c>
    </row>
    <row r="16" spans="1:25" x14ac:dyDescent="0.2">
      <c r="A16" s="1" t="s">
        <v>27</v>
      </c>
      <c r="B16" s="1">
        <v>43</v>
      </c>
      <c r="C16" s="1">
        <v>84</v>
      </c>
      <c r="D16" s="1">
        <v>91</v>
      </c>
      <c r="E16" s="1">
        <v>69</v>
      </c>
      <c r="F16" s="1">
        <v>94</v>
      </c>
      <c r="G16" s="1">
        <v>66</v>
      </c>
      <c r="H16" s="1">
        <v>78</v>
      </c>
      <c r="I16" s="1">
        <v>95</v>
      </c>
      <c r="J16" s="1">
        <v>91</v>
      </c>
      <c r="K16" s="1">
        <v>84</v>
      </c>
      <c r="L16" s="1">
        <v>33</v>
      </c>
      <c r="M16" s="1">
        <v>68</v>
      </c>
      <c r="N16" s="1">
        <v>53</v>
      </c>
      <c r="O16" s="1">
        <v>84</v>
      </c>
      <c r="P16" s="1">
        <v>92</v>
      </c>
      <c r="Q16" s="2">
        <f>AVERAGE(B16:P16)</f>
        <v>75</v>
      </c>
      <c r="R16" s="3">
        <f>MAX(GradebookTable[[#This Row],[Assignment1]:[final]])</f>
        <v>95</v>
      </c>
      <c r="S16" s="3">
        <f>MIN(GradebookTable[[#This Row],[Assignment1]:[final]])</f>
        <v>33</v>
      </c>
      <c r="T16" s="3" cm="1">
        <f t="array" ref="T16">AVERAGE(GradebookTable[[#This Row],[Assignment1]:[Assignment11]]*0.3)</f>
        <v>22.581818181818186</v>
      </c>
      <c r="U16" s="3" cm="1">
        <f t="array" ref="U16">AVERAGE(GradebookTable[[#This Row],[paper1]:[paper2]]*0.2)</f>
        <v>12.100000000000001</v>
      </c>
      <c r="V16" s="3">
        <f>GradebookTable[[#This Row],[midterm]]*0.2</f>
        <v>16.8</v>
      </c>
      <c r="W16" s="3">
        <f>GradebookTable[[#This Row],[final]]*0.3</f>
        <v>27.599999999999998</v>
      </c>
      <c r="X16" s="3">
        <f>SUM(GradebookTable[[#This Row],[assignment-weighted]:[final-weighted]])</f>
        <v>79.081818181818178</v>
      </c>
      <c r="Y16" s="3">
        <f>GradebookTable[[#This Row],[weighted-total]]-GradebookTable[[#This Row],[Average]]</f>
        <v>4.0818181818181785</v>
      </c>
    </row>
    <row r="17" spans="1:25" x14ac:dyDescent="0.2">
      <c r="A17" s="1" t="s">
        <v>28</v>
      </c>
      <c r="B17" s="1">
        <v>79</v>
      </c>
      <c r="C17" s="1">
        <v>44</v>
      </c>
      <c r="D17" s="1">
        <v>98</v>
      </c>
      <c r="E17" s="1">
        <v>90</v>
      </c>
      <c r="F17" s="1">
        <v>68</v>
      </c>
      <c r="G17" s="1">
        <v>40</v>
      </c>
      <c r="H17" s="1">
        <v>92</v>
      </c>
      <c r="I17" s="1">
        <v>79</v>
      </c>
      <c r="J17" s="1">
        <v>97</v>
      </c>
      <c r="K17" s="1">
        <v>79</v>
      </c>
      <c r="L17" s="1">
        <v>80</v>
      </c>
      <c r="M17" s="1">
        <v>77</v>
      </c>
      <c r="N17" s="1">
        <v>40</v>
      </c>
      <c r="O17" s="1">
        <v>85</v>
      </c>
      <c r="P17" s="1">
        <v>77</v>
      </c>
      <c r="Q17" s="2">
        <f>AVERAGE(B17:P17)</f>
        <v>75</v>
      </c>
      <c r="R17" s="3">
        <f>MAX(GradebookTable[[#This Row],[Assignment1]:[final]])</f>
        <v>98</v>
      </c>
      <c r="S17" s="3">
        <f>MIN(GradebookTable[[#This Row],[Assignment1]:[final]])</f>
        <v>40</v>
      </c>
      <c r="T17" s="3" cm="1">
        <f t="array" ref="T17">AVERAGE(GradebookTable[[#This Row],[Assignment1]:[Assignment11]]*0.3)</f>
        <v>23.072727272727267</v>
      </c>
      <c r="U17" s="3" cm="1">
        <f t="array" ref="U17">AVERAGE(GradebookTable[[#This Row],[paper1]:[paper2]]*0.2)</f>
        <v>11.7</v>
      </c>
      <c r="V17" s="3">
        <f>GradebookTable[[#This Row],[midterm]]*0.2</f>
        <v>17</v>
      </c>
      <c r="W17" s="3">
        <f>GradebookTable[[#This Row],[final]]*0.3</f>
        <v>23.099999999999998</v>
      </c>
      <c r="X17" s="3">
        <f>SUM(GradebookTable[[#This Row],[assignment-weighted]:[final-weighted]])</f>
        <v>74.872727272727261</v>
      </c>
      <c r="Y17" s="3">
        <f>GradebookTable[[#This Row],[weighted-total]]-GradebookTable[[#This Row],[Average]]</f>
        <v>-0.12727272727273942</v>
      </c>
    </row>
    <row r="18" spans="1:25" x14ac:dyDescent="0.2">
      <c r="A18" s="1" t="s">
        <v>29</v>
      </c>
      <c r="B18" s="1">
        <v>68</v>
      </c>
      <c r="C18" s="1">
        <v>96</v>
      </c>
      <c r="D18" s="1">
        <v>24</v>
      </c>
      <c r="E18" s="1">
        <v>76</v>
      </c>
      <c r="F18" s="1">
        <v>95</v>
      </c>
      <c r="G18" s="1">
        <v>68</v>
      </c>
      <c r="H18" s="1">
        <v>68</v>
      </c>
      <c r="I18" s="1">
        <v>80</v>
      </c>
      <c r="J18" s="1">
        <v>77</v>
      </c>
      <c r="K18" s="1">
        <v>96</v>
      </c>
      <c r="L18" s="1">
        <v>45</v>
      </c>
      <c r="M18" s="1">
        <v>97</v>
      </c>
      <c r="N18" s="1">
        <v>94</v>
      </c>
      <c r="O18" s="1">
        <v>49</v>
      </c>
      <c r="P18" s="1">
        <v>92</v>
      </c>
      <c r="Q18" s="2">
        <f>AVERAGE(B18:P18)</f>
        <v>75</v>
      </c>
      <c r="R18" s="3">
        <f>MAX(GradebookTable[[#This Row],[Assignment1]:[final]])</f>
        <v>97</v>
      </c>
      <c r="S18" s="3">
        <f>MIN(GradebookTable[[#This Row],[Assignment1]:[final]])</f>
        <v>24</v>
      </c>
      <c r="T18" s="3" cm="1">
        <f t="array" ref="T18">AVERAGE(GradebookTable[[#This Row],[Assignment1]:[Assignment11]]*0.3)</f>
        <v>21.627272727272725</v>
      </c>
      <c r="U18" s="3" cm="1">
        <f t="array" ref="U18">AVERAGE(GradebookTable[[#This Row],[paper1]:[paper2]]*0.2)</f>
        <v>19.100000000000001</v>
      </c>
      <c r="V18" s="3">
        <f>GradebookTable[[#This Row],[midterm]]*0.2</f>
        <v>9.8000000000000007</v>
      </c>
      <c r="W18" s="3">
        <f>GradebookTable[[#This Row],[final]]*0.3</f>
        <v>27.599999999999998</v>
      </c>
      <c r="X18" s="3">
        <f>SUM(GradebookTable[[#This Row],[assignment-weighted]:[final-weighted]])</f>
        <v>78.127272727272725</v>
      </c>
      <c r="Y18" s="3">
        <f>GradebookTable[[#This Row],[weighted-total]]-GradebookTable[[#This Row],[Average]]</f>
        <v>3.1272727272727252</v>
      </c>
    </row>
    <row r="19" spans="1:25" x14ac:dyDescent="0.2">
      <c r="A19" s="1" t="s">
        <v>30</v>
      </c>
      <c r="B19" s="1">
        <v>65</v>
      </c>
      <c r="C19" s="1">
        <v>96</v>
      </c>
      <c r="D19" s="1">
        <v>93</v>
      </c>
      <c r="E19" s="1">
        <v>67</v>
      </c>
      <c r="F19" s="1">
        <v>47</v>
      </c>
      <c r="G19" s="1">
        <v>93</v>
      </c>
      <c r="H19" s="1">
        <v>44</v>
      </c>
      <c r="I19" s="1">
        <v>92</v>
      </c>
      <c r="J19" s="1">
        <v>61</v>
      </c>
      <c r="K19" s="1">
        <v>82</v>
      </c>
      <c r="L19" s="1">
        <v>90</v>
      </c>
      <c r="M19" s="1">
        <v>48</v>
      </c>
      <c r="N19" s="1">
        <v>76</v>
      </c>
      <c r="O19" s="1">
        <v>86</v>
      </c>
      <c r="P19" s="1">
        <v>85</v>
      </c>
      <c r="Q19" s="2">
        <f>AVERAGE(B19:P19)</f>
        <v>75</v>
      </c>
      <c r="R19" s="3">
        <f>MAX(GradebookTable[[#This Row],[Assignment1]:[final]])</f>
        <v>96</v>
      </c>
      <c r="S19" s="3">
        <f>MIN(GradebookTable[[#This Row],[Assignment1]:[final]])</f>
        <v>44</v>
      </c>
      <c r="T19" s="3" cm="1">
        <f t="array" ref="T19">AVERAGE(GradebookTable[[#This Row],[Assignment1]:[Assignment11]]*0.3)</f>
        <v>22.636363636363633</v>
      </c>
      <c r="U19" s="3" cm="1">
        <f t="array" ref="U19">AVERAGE(GradebookTable[[#This Row],[paper1]:[paper2]]*0.2)</f>
        <v>12.400000000000002</v>
      </c>
      <c r="V19" s="3">
        <f>GradebookTable[[#This Row],[midterm]]*0.2</f>
        <v>17.2</v>
      </c>
      <c r="W19" s="3">
        <f>GradebookTable[[#This Row],[final]]*0.3</f>
        <v>25.5</v>
      </c>
      <c r="X19" s="3">
        <f>SUM(GradebookTable[[#This Row],[assignment-weighted]:[final-weighted]])</f>
        <v>77.736363636363635</v>
      </c>
      <c r="Y19" s="3">
        <f>GradebookTable[[#This Row],[weighted-total]]-GradebookTable[[#This Row],[Average]]</f>
        <v>2.7363636363636346</v>
      </c>
    </row>
    <row r="20" spans="1:25" x14ac:dyDescent="0.2">
      <c r="A20" s="1" t="s">
        <v>31</v>
      </c>
      <c r="B20" s="1">
        <v>84</v>
      </c>
      <c r="C20" s="1">
        <v>53</v>
      </c>
      <c r="D20" s="1">
        <v>78</v>
      </c>
      <c r="E20" s="1">
        <v>46</v>
      </c>
      <c r="F20" s="1">
        <v>99</v>
      </c>
      <c r="G20" s="1">
        <v>76</v>
      </c>
      <c r="H20" s="1">
        <v>19</v>
      </c>
      <c r="I20" s="1">
        <v>65</v>
      </c>
      <c r="J20" s="1">
        <v>74</v>
      </c>
      <c r="K20" s="1">
        <v>74</v>
      </c>
      <c r="L20" s="1">
        <v>93</v>
      </c>
      <c r="M20" s="1">
        <v>95</v>
      </c>
      <c r="N20" s="1">
        <v>80</v>
      </c>
      <c r="O20" s="1">
        <v>95</v>
      </c>
      <c r="P20" s="1">
        <v>94</v>
      </c>
      <c r="Q20" s="2">
        <f>AVERAGE(B20:P20)</f>
        <v>75</v>
      </c>
      <c r="R20" s="3">
        <f>MAX(GradebookTable[[#This Row],[Assignment1]:[final]])</f>
        <v>99</v>
      </c>
      <c r="S20" s="3">
        <f>MIN(GradebookTable[[#This Row],[Assignment1]:[final]])</f>
        <v>19</v>
      </c>
      <c r="T20" s="3" cm="1">
        <f t="array" ref="T20">AVERAGE(GradebookTable[[#This Row],[Assignment1]:[Assignment11]]*0.3)</f>
        <v>20.754545454545454</v>
      </c>
      <c r="U20" s="3" cm="1">
        <f t="array" ref="U20">AVERAGE(GradebookTable[[#This Row],[paper1]:[paper2]]*0.2)</f>
        <v>17.5</v>
      </c>
      <c r="V20" s="3">
        <f>GradebookTable[[#This Row],[midterm]]*0.2</f>
        <v>19</v>
      </c>
      <c r="W20" s="3">
        <f>GradebookTable[[#This Row],[final]]*0.3</f>
        <v>28.2</v>
      </c>
      <c r="X20" s="3">
        <f>SUM(GradebookTable[[#This Row],[assignment-weighted]:[final-weighted]])</f>
        <v>85.454545454545453</v>
      </c>
      <c r="Y20" s="3">
        <f>GradebookTable[[#This Row],[weighted-total]]-GradebookTable[[#This Row],[Average]]</f>
        <v>10.454545454545453</v>
      </c>
    </row>
    <row r="21" spans="1:25" x14ac:dyDescent="0.2">
      <c r="A21" s="1" t="s">
        <v>32</v>
      </c>
      <c r="B21" s="1">
        <v>93</v>
      </c>
      <c r="C21" s="1">
        <v>98</v>
      </c>
      <c r="D21" s="1">
        <v>58</v>
      </c>
      <c r="E21" s="1">
        <v>97</v>
      </c>
      <c r="F21" s="1">
        <v>94</v>
      </c>
      <c r="G21" s="1">
        <v>52</v>
      </c>
      <c r="H21" s="1">
        <v>91</v>
      </c>
      <c r="I21" s="1">
        <v>41</v>
      </c>
      <c r="J21" s="1">
        <v>99</v>
      </c>
      <c r="K21" s="1">
        <v>85</v>
      </c>
      <c r="L21" s="1">
        <v>89</v>
      </c>
      <c r="M21" s="1">
        <v>81</v>
      </c>
      <c r="N21" s="1">
        <v>58</v>
      </c>
      <c r="O21" s="1">
        <v>85</v>
      </c>
      <c r="P21" s="1">
        <v>4</v>
      </c>
      <c r="Q21" s="2">
        <f>AVERAGE(B21:P21)</f>
        <v>75</v>
      </c>
      <c r="R21" s="3">
        <f>MAX(GradebookTable[[#This Row],[Assignment1]:[final]])</f>
        <v>99</v>
      </c>
      <c r="S21" s="3">
        <f>MIN(GradebookTable[[#This Row],[Assignment1]:[final]])</f>
        <v>4</v>
      </c>
      <c r="T21" s="3" cm="1">
        <f t="array" ref="T21">AVERAGE(GradebookTable[[#This Row],[Assignment1]:[Assignment11]]*0.3)</f>
        <v>24.463636363636361</v>
      </c>
      <c r="U21" s="3" cm="1">
        <f t="array" ref="U21">AVERAGE(GradebookTable[[#This Row],[paper1]:[paper2]]*0.2)</f>
        <v>13.9</v>
      </c>
      <c r="V21" s="3">
        <f>GradebookTable[[#This Row],[midterm]]*0.2</f>
        <v>17</v>
      </c>
      <c r="W21" s="3">
        <f>GradebookTable[[#This Row],[final]]*0.3</f>
        <v>1.2</v>
      </c>
      <c r="X21" s="3">
        <f>SUM(GradebookTable[[#This Row],[assignment-weighted]:[final-weighted]])</f>
        <v>56.563636363636363</v>
      </c>
      <c r="Y21" s="3">
        <f>GradebookTable[[#This Row],[weighted-total]]-GradebookTable[[#This Row],[Average]]</f>
        <v>-18.436363636363637</v>
      </c>
    </row>
    <row r="22" spans="1:25" x14ac:dyDescent="0.2">
      <c r="A22" s="1" t="s">
        <v>33</v>
      </c>
      <c r="B22" s="1">
        <v>58</v>
      </c>
      <c r="C22" s="1">
        <v>63</v>
      </c>
      <c r="D22" s="1">
        <v>91</v>
      </c>
      <c r="E22" s="1">
        <v>91</v>
      </c>
      <c r="F22" s="1">
        <v>68</v>
      </c>
      <c r="G22" s="1">
        <v>86</v>
      </c>
      <c r="H22" s="1">
        <v>84</v>
      </c>
      <c r="I22" s="1">
        <v>96</v>
      </c>
      <c r="J22" s="1">
        <v>33</v>
      </c>
      <c r="K22" s="1">
        <v>64</v>
      </c>
      <c r="L22" s="1">
        <v>64</v>
      </c>
      <c r="M22" s="1">
        <v>90</v>
      </c>
      <c r="N22" s="1">
        <v>87</v>
      </c>
      <c r="O22" s="1">
        <v>59</v>
      </c>
      <c r="P22" s="1">
        <v>91</v>
      </c>
      <c r="Q22" s="2">
        <f>AVERAGE(B22:P22)</f>
        <v>75</v>
      </c>
      <c r="R22" s="3">
        <f>MAX(GradebookTable[[#This Row],[Assignment1]:[final]])</f>
        <v>96</v>
      </c>
      <c r="S22" s="3">
        <f>MIN(GradebookTable[[#This Row],[Assignment1]:[final]])</f>
        <v>33</v>
      </c>
      <c r="T22" s="3" cm="1">
        <f t="array" ref="T22">AVERAGE(GradebookTable[[#This Row],[Assignment1]:[Assignment11]]*0.3)</f>
        <v>21.763636363636358</v>
      </c>
      <c r="U22" s="3" cm="1">
        <f t="array" ref="U22">AVERAGE(GradebookTable[[#This Row],[paper1]:[paper2]]*0.2)</f>
        <v>17.700000000000003</v>
      </c>
      <c r="V22" s="3">
        <f>GradebookTable[[#This Row],[midterm]]*0.2</f>
        <v>11.8</v>
      </c>
      <c r="W22" s="3">
        <f>GradebookTable[[#This Row],[final]]*0.3</f>
        <v>27.3</v>
      </c>
      <c r="X22" s="3">
        <f>SUM(GradebookTable[[#This Row],[assignment-weighted]:[final-weighted]])</f>
        <v>78.563636363636363</v>
      </c>
      <c r="Y22" s="3">
        <f>GradebookTable[[#This Row],[weighted-total]]-GradebookTable[[#This Row],[Average]]</f>
        <v>3.5636363636363626</v>
      </c>
    </row>
    <row r="23" spans="1:25" x14ac:dyDescent="0.2">
      <c r="A23" s="1" t="s">
        <v>34</v>
      </c>
      <c r="B23" s="1">
        <v>96</v>
      </c>
      <c r="C23" s="1">
        <v>95</v>
      </c>
      <c r="D23" s="1">
        <v>86</v>
      </c>
      <c r="E23" s="1">
        <v>31</v>
      </c>
      <c r="F23" s="1">
        <v>22</v>
      </c>
      <c r="G23" s="1">
        <v>34</v>
      </c>
      <c r="H23" s="1">
        <v>75</v>
      </c>
      <c r="I23" s="1">
        <v>85</v>
      </c>
      <c r="J23" s="1">
        <v>91</v>
      </c>
      <c r="K23" s="1">
        <v>99</v>
      </c>
      <c r="L23" s="1">
        <v>99</v>
      </c>
      <c r="M23" s="1">
        <v>98</v>
      </c>
      <c r="N23" s="1">
        <v>92</v>
      </c>
      <c r="O23" s="1">
        <v>37</v>
      </c>
      <c r="P23" s="1">
        <v>85</v>
      </c>
      <c r="Q23" s="2">
        <f>AVERAGE(B23:P23)</f>
        <v>75</v>
      </c>
      <c r="R23" s="3">
        <f>MAX(GradebookTable[[#This Row],[Assignment1]:[final]])</f>
        <v>99</v>
      </c>
      <c r="S23" s="3">
        <f>MIN(GradebookTable[[#This Row],[Assignment1]:[final]])</f>
        <v>22</v>
      </c>
      <c r="T23" s="3" cm="1">
        <f t="array" ref="T23">AVERAGE(GradebookTable[[#This Row],[Assignment1]:[Assignment11]]*0.3)</f>
        <v>22.172727272727272</v>
      </c>
      <c r="U23" s="3" cm="1">
        <f t="array" ref="U23">AVERAGE(GradebookTable[[#This Row],[paper1]:[paper2]]*0.2)</f>
        <v>19</v>
      </c>
      <c r="V23" s="3">
        <f>GradebookTable[[#This Row],[midterm]]*0.2</f>
        <v>7.4</v>
      </c>
      <c r="W23" s="3">
        <f>GradebookTable[[#This Row],[final]]*0.3</f>
        <v>25.5</v>
      </c>
      <c r="X23" s="3">
        <f>SUM(GradebookTable[[#This Row],[assignment-weighted]:[final-weighted]])</f>
        <v>74.072727272727263</v>
      </c>
      <c r="Y23" s="3">
        <f>GradebookTable[[#This Row],[weighted-total]]-GradebookTable[[#This Row],[Average]]</f>
        <v>-0.92727272727273657</v>
      </c>
    </row>
    <row r="24" spans="1:25" x14ac:dyDescent="0.2">
      <c r="A24" s="1" t="s">
        <v>35</v>
      </c>
      <c r="B24" s="1">
        <v>69</v>
      </c>
      <c r="C24" s="1">
        <v>88</v>
      </c>
      <c r="D24" s="1">
        <v>38</v>
      </c>
      <c r="E24" s="1">
        <v>42</v>
      </c>
      <c r="F24" s="1">
        <v>75</v>
      </c>
      <c r="G24" s="1">
        <v>43</v>
      </c>
      <c r="H24" s="1">
        <v>80</v>
      </c>
      <c r="I24" s="1">
        <v>70</v>
      </c>
      <c r="J24" s="1">
        <v>66</v>
      </c>
      <c r="K24" s="1">
        <v>95</v>
      </c>
      <c r="L24" s="1">
        <v>96</v>
      </c>
      <c r="M24" s="1">
        <v>91</v>
      </c>
      <c r="N24" s="1">
        <v>90</v>
      </c>
      <c r="O24" s="1">
        <v>94</v>
      </c>
      <c r="P24" s="1">
        <v>88</v>
      </c>
      <c r="Q24" s="2">
        <f>AVERAGE(B24:P24)</f>
        <v>75</v>
      </c>
      <c r="R24" s="3">
        <f>MAX(GradebookTable[[#This Row],[Assignment1]:[final]])</f>
        <v>96</v>
      </c>
      <c r="S24" s="3">
        <f>MIN(GradebookTable[[#This Row],[Assignment1]:[final]])</f>
        <v>38</v>
      </c>
      <c r="T24" s="3" cm="1">
        <f t="array" ref="T24">AVERAGE(GradebookTable[[#This Row],[Assignment1]:[Assignment11]]*0.3)</f>
        <v>20.781818181818185</v>
      </c>
      <c r="U24" s="3" cm="1">
        <f t="array" ref="U24">AVERAGE(GradebookTable[[#This Row],[paper1]:[paper2]]*0.2)</f>
        <v>18.100000000000001</v>
      </c>
      <c r="V24" s="3">
        <f>GradebookTable[[#This Row],[midterm]]*0.2</f>
        <v>18.8</v>
      </c>
      <c r="W24" s="3">
        <f>GradebookTable[[#This Row],[final]]*0.3</f>
        <v>26.4</v>
      </c>
      <c r="X24" s="3">
        <f>SUM(GradebookTable[[#This Row],[assignment-weighted]:[final-weighted]])</f>
        <v>84.081818181818193</v>
      </c>
      <c r="Y24" s="3">
        <f>GradebookTable[[#This Row],[weighted-total]]-GradebookTable[[#This Row],[Average]]</f>
        <v>9.0818181818181927</v>
      </c>
    </row>
    <row r="25" spans="1:25" x14ac:dyDescent="0.2">
      <c r="A25" s="1" t="s">
        <v>36</v>
      </c>
      <c r="B25" s="1">
        <v>29</v>
      </c>
      <c r="C25" s="1">
        <v>89</v>
      </c>
      <c r="D25" s="1">
        <v>83</v>
      </c>
      <c r="E25" s="1">
        <v>95</v>
      </c>
      <c r="F25" s="1">
        <v>66</v>
      </c>
      <c r="G25" s="1">
        <v>93</v>
      </c>
      <c r="H25" s="1">
        <v>81</v>
      </c>
      <c r="I25" s="1">
        <v>86</v>
      </c>
      <c r="J25" s="1">
        <v>64</v>
      </c>
      <c r="K25" s="1">
        <v>53</v>
      </c>
      <c r="L25" s="1">
        <v>89</v>
      </c>
      <c r="M25" s="1">
        <v>80</v>
      </c>
      <c r="N25" s="1">
        <v>68</v>
      </c>
      <c r="O25" s="1">
        <v>91</v>
      </c>
      <c r="P25" s="1">
        <v>58</v>
      </c>
      <c r="Q25" s="2">
        <f>AVERAGE(B25:P25)</f>
        <v>75</v>
      </c>
      <c r="R25" s="3">
        <f>MAX(GradebookTable[[#This Row],[Assignment1]:[final]])</f>
        <v>95</v>
      </c>
      <c r="S25" s="3">
        <f>MIN(GradebookTable[[#This Row],[Assignment1]:[final]])</f>
        <v>29</v>
      </c>
      <c r="T25" s="3" cm="1">
        <f t="array" ref="T25">AVERAGE(GradebookTable[[#This Row],[Assignment1]:[Assignment11]]*0.3)</f>
        <v>22.581818181818182</v>
      </c>
      <c r="U25" s="3" cm="1">
        <f t="array" ref="U25">AVERAGE(GradebookTable[[#This Row],[paper1]:[paper2]]*0.2)</f>
        <v>14.8</v>
      </c>
      <c r="V25" s="3">
        <f>GradebookTable[[#This Row],[midterm]]*0.2</f>
        <v>18.2</v>
      </c>
      <c r="W25" s="3">
        <f>GradebookTable[[#This Row],[final]]*0.3</f>
        <v>17.399999999999999</v>
      </c>
      <c r="X25" s="3">
        <f>SUM(GradebookTable[[#This Row],[assignment-weighted]:[final-weighted]])</f>
        <v>72.98181818181817</v>
      </c>
      <c r="Y25" s="3">
        <f>GradebookTable[[#This Row],[weighted-total]]-GradebookTable[[#This Row],[Average]]</f>
        <v>-2.0181818181818301</v>
      </c>
    </row>
    <row r="26" spans="1:25" x14ac:dyDescent="0.2">
      <c r="A26" s="1" t="s">
        <v>37</v>
      </c>
      <c r="B26" s="1">
        <v>99</v>
      </c>
      <c r="C26" s="1">
        <v>64</v>
      </c>
      <c r="D26" s="1">
        <v>44</v>
      </c>
      <c r="E26" s="1">
        <v>63</v>
      </c>
      <c r="F26" s="1">
        <v>87</v>
      </c>
      <c r="G26" s="1">
        <v>74</v>
      </c>
      <c r="H26" s="1">
        <v>98</v>
      </c>
      <c r="I26" s="1">
        <v>56</v>
      </c>
      <c r="J26" s="1">
        <v>86</v>
      </c>
      <c r="K26" s="1">
        <v>61</v>
      </c>
      <c r="L26" s="1">
        <v>71</v>
      </c>
      <c r="M26" s="1">
        <v>68</v>
      </c>
      <c r="N26" s="1">
        <v>84</v>
      </c>
      <c r="O26" s="1">
        <v>80</v>
      </c>
      <c r="P26" s="1">
        <v>90</v>
      </c>
      <c r="Q26" s="2">
        <f>AVERAGE(B26:P26)</f>
        <v>75</v>
      </c>
      <c r="R26" s="3">
        <f>MAX(GradebookTable[[#This Row],[Assignment1]:[final]])</f>
        <v>99</v>
      </c>
      <c r="S26" s="3">
        <f>MIN(GradebookTable[[#This Row],[Assignment1]:[final]])</f>
        <v>44</v>
      </c>
      <c r="T26" s="3" cm="1">
        <f t="array" ref="T26">AVERAGE(GradebookTable[[#This Row],[Assignment1]:[Assignment11]]*0.3)</f>
        <v>21.900000000000002</v>
      </c>
      <c r="U26" s="3" cm="1">
        <f t="array" ref="U26">AVERAGE(GradebookTable[[#This Row],[paper1]:[paper2]]*0.2)</f>
        <v>15.200000000000001</v>
      </c>
      <c r="V26" s="3">
        <f>GradebookTable[[#This Row],[midterm]]*0.2</f>
        <v>16</v>
      </c>
      <c r="W26" s="3">
        <f>GradebookTable[[#This Row],[final]]*0.3</f>
        <v>27</v>
      </c>
      <c r="X26" s="3">
        <f>SUM(GradebookTable[[#This Row],[assignment-weighted]:[final-weighted]])</f>
        <v>80.099999999999994</v>
      </c>
      <c r="Y26" s="3">
        <f>GradebookTable[[#This Row],[weighted-total]]-GradebookTable[[#This Row],[Average]]</f>
        <v>5.0999999999999943</v>
      </c>
    </row>
    <row r="27" spans="1:25" x14ac:dyDescent="0.2">
      <c r="A27" s="1" t="s">
        <v>38</v>
      </c>
      <c r="B27" s="1">
        <v>94</v>
      </c>
      <c r="C27" s="1">
        <v>60</v>
      </c>
      <c r="D27" s="1">
        <v>84</v>
      </c>
      <c r="E27" s="1">
        <v>70</v>
      </c>
      <c r="F27" s="1">
        <v>99</v>
      </c>
      <c r="G27" s="1">
        <v>96</v>
      </c>
      <c r="H27" s="1">
        <v>89</v>
      </c>
      <c r="I27" s="1">
        <v>90</v>
      </c>
      <c r="J27" s="1">
        <v>99</v>
      </c>
      <c r="K27" s="1">
        <v>50</v>
      </c>
      <c r="L27" s="1">
        <v>70</v>
      </c>
      <c r="M27" s="1">
        <v>82</v>
      </c>
      <c r="N27" s="1">
        <v>67</v>
      </c>
      <c r="O27" s="1">
        <v>56</v>
      </c>
      <c r="P27" s="1">
        <v>19</v>
      </c>
      <c r="Q27" s="2">
        <f>AVERAGE(B27:P27)</f>
        <v>75</v>
      </c>
      <c r="R27" s="3">
        <f>MAX(GradebookTable[[#This Row],[Assignment1]:[final]])</f>
        <v>99</v>
      </c>
      <c r="S27" s="3">
        <f>MIN(GradebookTable[[#This Row],[Assignment1]:[final]])</f>
        <v>19</v>
      </c>
      <c r="T27" s="3" cm="1">
        <f t="array" ref="T27">AVERAGE(GradebookTable[[#This Row],[Assignment1]:[Assignment11]]*0.3)</f>
        <v>24.572727272727267</v>
      </c>
      <c r="U27" s="3" cm="1">
        <f t="array" ref="U27">AVERAGE(GradebookTable[[#This Row],[paper1]:[paper2]]*0.2)</f>
        <v>14.900000000000002</v>
      </c>
      <c r="V27" s="3">
        <f>GradebookTable[[#This Row],[midterm]]*0.2</f>
        <v>11.200000000000001</v>
      </c>
      <c r="W27" s="3">
        <f>GradebookTable[[#This Row],[final]]*0.3</f>
        <v>5.7</v>
      </c>
      <c r="X27" s="3">
        <f>SUM(GradebookTable[[#This Row],[assignment-weighted]:[final-weighted]])</f>
        <v>56.372727272727275</v>
      </c>
      <c r="Y27" s="3">
        <f>GradebookTable[[#This Row],[weighted-total]]-GradebookTable[[#This Row],[Average]]</f>
        <v>-18.627272727272725</v>
      </c>
    </row>
    <row r="28" spans="1:25" x14ac:dyDescent="0.2">
      <c r="A28" s="1" t="s">
        <v>39</v>
      </c>
      <c r="B28" s="1">
        <v>85</v>
      </c>
      <c r="C28" s="1">
        <v>92</v>
      </c>
      <c r="D28" s="1">
        <v>93</v>
      </c>
      <c r="E28" s="1">
        <v>97</v>
      </c>
      <c r="F28" s="1">
        <v>93</v>
      </c>
      <c r="G28" s="1">
        <v>68</v>
      </c>
      <c r="H28" s="1">
        <v>16</v>
      </c>
      <c r="I28" s="1">
        <v>54</v>
      </c>
      <c r="J28" s="1">
        <v>35</v>
      </c>
      <c r="K28" s="1">
        <v>86</v>
      </c>
      <c r="L28" s="1">
        <v>95</v>
      </c>
      <c r="M28" s="1">
        <v>64</v>
      </c>
      <c r="N28" s="1">
        <v>67</v>
      </c>
      <c r="O28" s="1">
        <v>86</v>
      </c>
      <c r="P28" s="1">
        <v>94</v>
      </c>
      <c r="Q28" s="2">
        <f>AVERAGE(B28:P28)</f>
        <v>75</v>
      </c>
      <c r="R28" s="3">
        <f>MAX(GradebookTable[[#This Row],[Assignment1]:[final]])</f>
        <v>97</v>
      </c>
      <c r="S28" s="3">
        <f>MIN(GradebookTable[[#This Row],[Assignment1]:[final]])</f>
        <v>16</v>
      </c>
      <c r="T28" s="3" cm="1">
        <f t="array" ref="T28">AVERAGE(GradebookTable[[#This Row],[Assignment1]:[Assignment11]]*0.3)</f>
        <v>22.200000000000003</v>
      </c>
      <c r="U28" s="3" cm="1">
        <f t="array" ref="U28">AVERAGE(GradebookTable[[#This Row],[paper1]:[paper2]]*0.2)</f>
        <v>13.100000000000001</v>
      </c>
      <c r="V28" s="3">
        <f>GradebookTable[[#This Row],[midterm]]*0.2</f>
        <v>17.2</v>
      </c>
      <c r="W28" s="3">
        <f>GradebookTable[[#This Row],[final]]*0.3</f>
        <v>28.2</v>
      </c>
      <c r="X28" s="3">
        <f>SUM(GradebookTable[[#This Row],[assignment-weighted]:[final-weighted]])</f>
        <v>80.7</v>
      </c>
      <c r="Y28" s="3">
        <f>GradebookTable[[#This Row],[weighted-total]]-GradebookTable[[#This Row],[Average]]</f>
        <v>5.7000000000000028</v>
      </c>
    </row>
    <row r="29" spans="1:25" x14ac:dyDescent="0.2">
      <c r="A29" s="1" t="s">
        <v>40</v>
      </c>
      <c r="B29" s="1">
        <v>97</v>
      </c>
      <c r="C29" s="1">
        <v>66</v>
      </c>
      <c r="D29" s="1">
        <v>98</v>
      </c>
      <c r="E29" s="1">
        <v>93</v>
      </c>
      <c r="F29" s="1">
        <v>79</v>
      </c>
      <c r="G29" s="1">
        <v>85</v>
      </c>
      <c r="H29" s="1">
        <v>93</v>
      </c>
      <c r="I29" s="1">
        <v>98</v>
      </c>
      <c r="J29" s="1">
        <v>43</v>
      </c>
      <c r="K29" s="1">
        <v>63</v>
      </c>
      <c r="L29" s="1">
        <v>17</v>
      </c>
      <c r="M29" s="1">
        <v>85</v>
      </c>
      <c r="N29" s="1">
        <v>72</v>
      </c>
      <c r="O29" s="1">
        <v>89</v>
      </c>
      <c r="P29" s="1">
        <v>47</v>
      </c>
      <c r="Q29" s="2">
        <f>AVERAGE(B29:P29)</f>
        <v>75</v>
      </c>
      <c r="R29" s="3">
        <f>MAX(GradebookTable[[#This Row],[Assignment1]:[final]])</f>
        <v>98</v>
      </c>
      <c r="S29" s="3">
        <f>MIN(GradebookTable[[#This Row],[Assignment1]:[final]])</f>
        <v>17</v>
      </c>
      <c r="T29" s="3" cm="1">
        <f t="array" ref="T29">AVERAGE(GradebookTable[[#This Row],[Assignment1]:[Assignment11]]*0.3)</f>
        <v>22.690909090909091</v>
      </c>
      <c r="U29" s="3" cm="1">
        <f t="array" ref="U29">AVERAGE(GradebookTable[[#This Row],[paper1]:[paper2]]*0.2)</f>
        <v>15.7</v>
      </c>
      <c r="V29" s="3">
        <f>GradebookTable[[#This Row],[midterm]]*0.2</f>
        <v>17.8</v>
      </c>
      <c r="W29" s="3">
        <f>GradebookTable[[#This Row],[final]]*0.3</f>
        <v>14.1</v>
      </c>
      <c r="X29" s="3">
        <f>SUM(GradebookTable[[#This Row],[assignment-weighted]:[final-weighted]])</f>
        <v>70.290909090909082</v>
      </c>
      <c r="Y29" s="3">
        <f>GradebookTable[[#This Row],[weighted-total]]-GradebookTable[[#This Row],[Average]]</f>
        <v>-4.7090909090909179</v>
      </c>
    </row>
    <row r="30" spans="1:25" x14ac:dyDescent="0.2">
      <c r="A30" s="1" t="s">
        <v>41</v>
      </c>
      <c r="B30" s="1">
        <v>60</v>
      </c>
      <c r="C30" s="1">
        <v>86</v>
      </c>
      <c r="D30" s="1">
        <v>89</v>
      </c>
      <c r="E30" s="1">
        <v>46</v>
      </c>
      <c r="F30" s="1">
        <v>82</v>
      </c>
      <c r="G30" s="1">
        <v>94</v>
      </c>
      <c r="H30" s="1">
        <v>55</v>
      </c>
      <c r="I30" s="1">
        <v>68</v>
      </c>
      <c r="J30" s="1">
        <v>61</v>
      </c>
      <c r="K30" s="1">
        <v>92</v>
      </c>
      <c r="L30" s="1">
        <v>51</v>
      </c>
      <c r="M30" s="1">
        <v>95</v>
      </c>
      <c r="N30" s="1">
        <v>90</v>
      </c>
      <c r="O30" s="1">
        <v>60</v>
      </c>
      <c r="P30" s="1">
        <v>96</v>
      </c>
      <c r="Q30" s="2">
        <f>AVERAGE(B30:P30)</f>
        <v>75</v>
      </c>
      <c r="R30" s="3">
        <f>MAX(GradebookTable[[#This Row],[Assignment1]:[final]])</f>
        <v>96</v>
      </c>
      <c r="S30" s="3">
        <f>MIN(GradebookTable[[#This Row],[Assignment1]:[final]])</f>
        <v>46</v>
      </c>
      <c r="T30" s="3" cm="1">
        <f t="array" ref="T30">AVERAGE(GradebookTable[[#This Row],[Assignment1]:[Assignment11]]*0.3)</f>
        <v>21.381818181818183</v>
      </c>
      <c r="U30" s="3" cm="1">
        <f t="array" ref="U30">AVERAGE(GradebookTable[[#This Row],[paper1]:[paper2]]*0.2)</f>
        <v>18.5</v>
      </c>
      <c r="V30" s="3">
        <f>GradebookTable[[#This Row],[midterm]]*0.2</f>
        <v>12</v>
      </c>
      <c r="W30" s="3">
        <f>GradebookTable[[#This Row],[final]]*0.3</f>
        <v>28.799999999999997</v>
      </c>
      <c r="X30" s="3">
        <f>SUM(GradebookTable[[#This Row],[assignment-weighted]:[final-weighted]])</f>
        <v>80.681818181818187</v>
      </c>
      <c r="Y30" s="3">
        <f>GradebookTable[[#This Row],[weighted-total]]-GradebookTable[[#This Row],[Average]]</f>
        <v>5.681818181818187</v>
      </c>
    </row>
    <row r="31" spans="1:25" x14ac:dyDescent="0.2">
      <c r="A31" s="1" t="s">
        <v>42</v>
      </c>
      <c r="B31" s="1">
        <v>74</v>
      </c>
      <c r="C31" s="1">
        <v>83</v>
      </c>
      <c r="D31" s="1">
        <v>15</v>
      </c>
      <c r="E31" s="1">
        <v>65</v>
      </c>
      <c r="F31" s="1">
        <v>71</v>
      </c>
      <c r="G31" s="1">
        <v>89</v>
      </c>
      <c r="H31" s="1">
        <v>26</v>
      </c>
      <c r="I31" s="1">
        <v>95</v>
      </c>
      <c r="J31" s="1">
        <v>92</v>
      </c>
      <c r="K31" s="1">
        <v>88</v>
      </c>
      <c r="L31" s="1">
        <v>92</v>
      </c>
      <c r="M31" s="1">
        <v>96</v>
      </c>
      <c r="N31" s="1">
        <v>97</v>
      </c>
      <c r="O31" s="1">
        <v>84</v>
      </c>
      <c r="P31" s="1">
        <v>58</v>
      </c>
      <c r="Q31" s="2">
        <f>AVERAGE(B31:P31)</f>
        <v>75</v>
      </c>
      <c r="R31" s="3">
        <f>MAX(GradebookTable[[#This Row],[Assignment1]:[final]])</f>
        <v>97</v>
      </c>
      <c r="S31" s="3">
        <f>MIN(GradebookTable[[#This Row],[Assignment1]:[final]])</f>
        <v>15</v>
      </c>
      <c r="T31" s="3" cm="1">
        <f t="array" ref="T31">AVERAGE(GradebookTable[[#This Row],[Assignment1]:[Assignment11]]*0.3)</f>
        <v>21.545454545454543</v>
      </c>
      <c r="U31" s="3" cm="1">
        <f t="array" ref="U31">AVERAGE(GradebookTable[[#This Row],[paper1]:[paper2]]*0.2)</f>
        <v>19.300000000000004</v>
      </c>
      <c r="V31" s="3">
        <f>GradebookTable[[#This Row],[midterm]]*0.2</f>
        <v>16.8</v>
      </c>
      <c r="W31" s="3">
        <f>GradebookTable[[#This Row],[final]]*0.3</f>
        <v>17.399999999999999</v>
      </c>
      <c r="X31" s="3">
        <f>SUM(GradebookTable[[#This Row],[assignment-weighted]:[final-weighted]])</f>
        <v>75.045454545454533</v>
      </c>
      <c r="Y31" s="3">
        <f>GradebookTable[[#This Row],[weighted-total]]-GradebookTable[[#This Row],[Average]]</f>
        <v>4.5454545454532536E-2</v>
      </c>
    </row>
    <row r="32" spans="1:25" x14ac:dyDescent="0.2">
      <c r="A32" s="1" t="s">
        <v>43</v>
      </c>
      <c r="B32" s="1">
        <v>90</v>
      </c>
      <c r="C32" s="1">
        <v>97</v>
      </c>
      <c r="D32" s="1">
        <v>94</v>
      </c>
      <c r="E32" s="1">
        <v>21</v>
      </c>
      <c r="F32" s="1">
        <v>70</v>
      </c>
      <c r="G32" s="1">
        <v>67</v>
      </c>
      <c r="H32" s="1">
        <v>3</v>
      </c>
      <c r="I32" s="1">
        <v>52</v>
      </c>
      <c r="J32" s="1">
        <v>96</v>
      </c>
      <c r="K32" s="1">
        <v>99</v>
      </c>
      <c r="L32" s="1">
        <v>77</v>
      </c>
      <c r="M32" s="1">
        <v>82</v>
      </c>
      <c r="N32" s="1">
        <v>88</v>
      </c>
      <c r="O32" s="1">
        <v>97</v>
      </c>
      <c r="P32" s="1">
        <v>92</v>
      </c>
      <c r="Q32" s="2">
        <f>AVERAGE(B32:P32)</f>
        <v>75</v>
      </c>
      <c r="R32" s="3">
        <f>MAX(GradebookTable[[#This Row],[Assignment1]:[final]])</f>
        <v>99</v>
      </c>
      <c r="S32" s="3">
        <f>MIN(GradebookTable[[#This Row],[Assignment1]:[final]])</f>
        <v>3</v>
      </c>
      <c r="T32" s="3" cm="1">
        <f t="array" ref="T32">AVERAGE(GradebookTable[[#This Row],[Assignment1]:[Assignment11]]*0.3)</f>
        <v>20.890909090909091</v>
      </c>
      <c r="U32" s="3" cm="1">
        <f t="array" ref="U32">AVERAGE(GradebookTable[[#This Row],[paper1]:[paper2]]*0.2)</f>
        <v>17</v>
      </c>
      <c r="V32" s="3">
        <f>GradebookTable[[#This Row],[midterm]]*0.2</f>
        <v>19.400000000000002</v>
      </c>
      <c r="W32" s="3">
        <f>GradebookTable[[#This Row],[final]]*0.3</f>
        <v>27.599999999999998</v>
      </c>
      <c r="X32" s="3">
        <f>SUM(GradebookTable[[#This Row],[assignment-weighted]:[final-weighted]])</f>
        <v>84.890909090909091</v>
      </c>
      <c r="Y32" s="3">
        <f>GradebookTable[[#This Row],[weighted-total]]-GradebookTable[[#This Row],[Average]]</f>
        <v>9.8909090909090907</v>
      </c>
    </row>
    <row r="33" spans="1:25" x14ac:dyDescent="0.2">
      <c r="A33" s="1" t="s">
        <v>44</v>
      </c>
      <c r="B33" s="1">
        <v>97</v>
      </c>
      <c r="C33" s="1">
        <v>61</v>
      </c>
      <c r="D33" s="1">
        <v>86</v>
      </c>
      <c r="E33" s="1">
        <v>85</v>
      </c>
      <c r="F33" s="1">
        <v>93</v>
      </c>
      <c r="G33" s="1">
        <v>76</v>
      </c>
      <c r="H33" s="1">
        <v>66</v>
      </c>
      <c r="I33" s="1">
        <v>36</v>
      </c>
      <c r="J33" s="1">
        <v>62</v>
      </c>
      <c r="K33" s="1">
        <v>93</v>
      </c>
      <c r="L33" s="1">
        <v>77</v>
      </c>
      <c r="M33" s="1">
        <v>61</v>
      </c>
      <c r="N33" s="1">
        <v>72</v>
      </c>
      <c r="O33" s="1">
        <v>94</v>
      </c>
      <c r="P33" s="1">
        <v>66</v>
      </c>
      <c r="Q33" s="2">
        <f>AVERAGE(B33:P33)</f>
        <v>75</v>
      </c>
      <c r="R33" s="3">
        <f>MAX(GradebookTable[[#This Row],[Assignment1]:[final]])</f>
        <v>97</v>
      </c>
      <c r="S33" s="3">
        <f>MIN(GradebookTable[[#This Row],[Assignment1]:[final]])</f>
        <v>36</v>
      </c>
      <c r="T33" s="3" cm="1">
        <f t="array" ref="T33">AVERAGE(GradebookTable[[#This Row],[Assignment1]:[Assignment11]]*0.3)</f>
        <v>22.690909090909091</v>
      </c>
      <c r="U33" s="3" cm="1">
        <f t="array" ref="U33">AVERAGE(GradebookTable[[#This Row],[paper1]:[paper2]]*0.2)</f>
        <v>13.3</v>
      </c>
      <c r="V33" s="3">
        <f>GradebookTable[[#This Row],[midterm]]*0.2</f>
        <v>18.8</v>
      </c>
      <c r="W33" s="3">
        <f>GradebookTable[[#This Row],[final]]*0.3</f>
        <v>19.8</v>
      </c>
      <c r="X33" s="3">
        <f>SUM(GradebookTable[[#This Row],[assignment-weighted]:[final-weighted]])</f>
        <v>74.590909090909093</v>
      </c>
      <c r="Y33" s="3">
        <f>GradebookTable[[#This Row],[weighted-total]]-GradebookTable[[#This Row],[Average]]</f>
        <v>-0.40909090909090651</v>
      </c>
    </row>
    <row r="34" spans="1:25" x14ac:dyDescent="0.2">
      <c r="A34" s="1" t="s">
        <v>45</v>
      </c>
      <c r="B34" s="1">
        <v>73</v>
      </c>
      <c r="C34" s="1">
        <v>87</v>
      </c>
      <c r="D34" s="1">
        <v>93</v>
      </c>
      <c r="E34" s="1">
        <v>98</v>
      </c>
      <c r="F34" s="1">
        <v>86</v>
      </c>
      <c r="G34" s="1">
        <v>87</v>
      </c>
      <c r="H34" s="1">
        <v>75</v>
      </c>
      <c r="I34" s="1">
        <v>69</v>
      </c>
      <c r="J34" s="1">
        <v>96</v>
      </c>
      <c r="K34" s="1">
        <v>5</v>
      </c>
      <c r="L34" s="1">
        <v>89</v>
      </c>
      <c r="M34" s="1">
        <v>63</v>
      </c>
      <c r="N34" s="1">
        <v>67</v>
      </c>
      <c r="O34" s="1">
        <v>44</v>
      </c>
      <c r="P34" s="1">
        <v>93</v>
      </c>
      <c r="Q34" s="2">
        <f>AVERAGE(B34:P34)</f>
        <v>75</v>
      </c>
      <c r="R34" s="3">
        <f>MAX(GradebookTable[[#This Row],[Assignment1]:[final]])</f>
        <v>98</v>
      </c>
      <c r="S34" s="3">
        <f>MIN(GradebookTable[[#This Row],[Assignment1]:[final]])</f>
        <v>5</v>
      </c>
      <c r="T34" s="3" cm="1">
        <f t="array" ref="T34">AVERAGE(GradebookTable[[#This Row],[Assignment1]:[Assignment11]]*0.3)</f>
        <v>23.4</v>
      </c>
      <c r="U34" s="3" cm="1">
        <f t="array" ref="U34">AVERAGE(GradebookTable[[#This Row],[paper1]:[paper2]]*0.2)</f>
        <v>13</v>
      </c>
      <c r="V34" s="3">
        <f>GradebookTable[[#This Row],[midterm]]*0.2</f>
        <v>8.8000000000000007</v>
      </c>
      <c r="W34" s="3">
        <f>GradebookTable[[#This Row],[final]]*0.3</f>
        <v>27.9</v>
      </c>
      <c r="X34" s="3">
        <f>SUM(GradebookTable[[#This Row],[assignment-weighted]:[final-weighted]])</f>
        <v>73.099999999999994</v>
      </c>
      <c r="Y34" s="3">
        <f>GradebookTable[[#This Row],[weighted-total]]-GradebookTable[[#This Row],[Average]]</f>
        <v>-1.9000000000000057</v>
      </c>
    </row>
    <row r="35" spans="1:25" x14ac:dyDescent="0.2">
      <c r="A35" s="1" t="s">
        <v>46</v>
      </c>
      <c r="B35" s="1">
        <v>91</v>
      </c>
      <c r="C35" s="1">
        <v>29</v>
      </c>
      <c r="D35" s="1">
        <v>99</v>
      </c>
      <c r="E35" s="1">
        <v>40</v>
      </c>
      <c r="F35" s="1">
        <v>94</v>
      </c>
      <c r="G35" s="1">
        <v>98</v>
      </c>
      <c r="H35" s="1">
        <v>99</v>
      </c>
      <c r="I35" s="1">
        <v>69</v>
      </c>
      <c r="J35" s="1">
        <v>65</v>
      </c>
      <c r="K35" s="1">
        <v>64</v>
      </c>
      <c r="L35" s="1">
        <v>45</v>
      </c>
      <c r="M35" s="1">
        <v>95</v>
      </c>
      <c r="N35" s="1">
        <v>98</v>
      </c>
      <c r="O35" s="1">
        <v>69</v>
      </c>
      <c r="P35" s="1">
        <v>70</v>
      </c>
      <c r="Q35" s="2">
        <f>AVERAGE(B35:P35)</f>
        <v>75</v>
      </c>
      <c r="R35" s="3">
        <f>MAX(GradebookTable[[#This Row],[Assignment1]:[final]])</f>
        <v>99</v>
      </c>
      <c r="S35" s="3">
        <f>MIN(GradebookTable[[#This Row],[Assignment1]:[final]])</f>
        <v>29</v>
      </c>
      <c r="T35" s="3" cm="1">
        <f t="array" ref="T35">AVERAGE(GradebookTable[[#This Row],[Assignment1]:[Assignment11]]*0.3)</f>
        <v>21.627272727272725</v>
      </c>
      <c r="U35" s="3" cm="1">
        <f t="array" ref="U35">AVERAGE(GradebookTable[[#This Row],[paper1]:[paper2]]*0.2)</f>
        <v>19.3</v>
      </c>
      <c r="V35" s="3">
        <f>GradebookTable[[#This Row],[midterm]]*0.2</f>
        <v>13.8</v>
      </c>
      <c r="W35" s="3">
        <f>GradebookTable[[#This Row],[final]]*0.3</f>
        <v>21</v>
      </c>
      <c r="X35" s="3">
        <f>SUM(GradebookTable[[#This Row],[assignment-weighted]:[final-weighted]])</f>
        <v>75.72727272727272</v>
      </c>
      <c r="Y35" s="3">
        <f>GradebookTable[[#This Row],[weighted-total]]-GradebookTable[[#This Row],[Average]]</f>
        <v>0.72727272727271952</v>
      </c>
    </row>
    <row r="36" spans="1:25" x14ac:dyDescent="0.2">
      <c r="A36" s="1" t="s">
        <v>47</v>
      </c>
      <c r="B36" s="1">
        <v>94</v>
      </c>
      <c r="C36" s="1">
        <v>99</v>
      </c>
      <c r="D36" s="1">
        <v>48</v>
      </c>
      <c r="E36" s="1">
        <v>69</v>
      </c>
      <c r="F36" s="1">
        <v>75</v>
      </c>
      <c r="G36" s="1">
        <v>87</v>
      </c>
      <c r="H36" s="1">
        <v>92</v>
      </c>
      <c r="I36" s="1">
        <v>97</v>
      </c>
      <c r="J36" s="1">
        <v>67</v>
      </c>
      <c r="K36" s="1">
        <v>88</v>
      </c>
      <c r="L36" s="1">
        <v>44</v>
      </c>
      <c r="M36" s="1">
        <v>8</v>
      </c>
      <c r="N36" s="1">
        <v>85</v>
      </c>
      <c r="O36" s="1">
        <v>98</v>
      </c>
      <c r="P36" s="1">
        <v>74</v>
      </c>
      <c r="Q36" s="2">
        <f>AVERAGE(B36:P36)</f>
        <v>75</v>
      </c>
      <c r="R36" s="3">
        <f>MAX(GradebookTable[[#This Row],[Assignment1]:[final]])</f>
        <v>99</v>
      </c>
      <c r="S36" s="3">
        <f>MIN(GradebookTable[[#This Row],[Assignment1]:[final]])</f>
        <v>8</v>
      </c>
      <c r="T36" s="3" cm="1">
        <f t="array" ref="T36">AVERAGE(GradebookTable[[#This Row],[Assignment1]:[Assignment11]]*0.3)</f>
        <v>23.454545454545453</v>
      </c>
      <c r="U36" s="3" cm="1">
        <f t="array" ref="U36">AVERAGE(GradebookTable[[#This Row],[paper1]:[paper2]]*0.2)</f>
        <v>9.3000000000000007</v>
      </c>
      <c r="V36" s="3">
        <f>GradebookTable[[#This Row],[midterm]]*0.2</f>
        <v>19.600000000000001</v>
      </c>
      <c r="W36" s="3">
        <f>GradebookTable[[#This Row],[final]]*0.3</f>
        <v>22.2</v>
      </c>
      <c r="X36" s="3">
        <f>SUM(GradebookTable[[#This Row],[assignment-weighted]:[final-weighted]])</f>
        <v>74.554545454545448</v>
      </c>
      <c r="Y36" s="3">
        <f>GradebookTable[[#This Row],[weighted-total]]-GradebookTable[[#This Row],[Average]]</f>
        <v>-0.44545454545455243</v>
      </c>
    </row>
    <row r="37" spans="1:25" x14ac:dyDescent="0.2">
      <c r="A37" s="1" t="s">
        <v>48</v>
      </c>
      <c r="B37" s="1">
        <v>80</v>
      </c>
      <c r="C37" s="1">
        <v>81</v>
      </c>
      <c r="D37" s="1">
        <v>95</v>
      </c>
      <c r="E37" s="1">
        <v>36</v>
      </c>
      <c r="F37" s="1">
        <v>98</v>
      </c>
      <c r="G37" s="1">
        <v>94</v>
      </c>
      <c r="H37" s="1">
        <v>83</v>
      </c>
      <c r="I37" s="1">
        <v>77</v>
      </c>
      <c r="J37" s="1">
        <v>84</v>
      </c>
      <c r="K37" s="1">
        <v>41</v>
      </c>
      <c r="L37" s="1">
        <v>43</v>
      </c>
      <c r="M37" s="1">
        <v>99</v>
      </c>
      <c r="N37" s="1">
        <v>52</v>
      </c>
      <c r="O37" s="1">
        <v>63</v>
      </c>
      <c r="P37" s="1">
        <v>99</v>
      </c>
      <c r="Q37" s="2">
        <f>AVERAGE(B37:P37)</f>
        <v>75</v>
      </c>
      <c r="R37" s="3">
        <f>MAX(GradebookTable[[#This Row],[Assignment1]:[final]])</f>
        <v>99</v>
      </c>
      <c r="S37" s="3">
        <f>MIN(GradebookTable[[#This Row],[Assignment1]:[final]])</f>
        <v>36</v>
      </c>
      <c r="T37" s="3" cm="1">
        <f t="array" ref="T37">AVERAGE(GradebookTable[[#This Row],[Assignment1]:[Assignment11]]*0.3)</f>
        <v>22.145454545454545</v>
      </c>
      <c r="U37" s="3" cm="1">
        <f t="array" ref="U37">AVERAGE(GradebookTable[[#This Row],[paper1]:[paper2]]*0.2)</f>
        <v>15.100000000000001</v>
      </c>
      <c r="V37" s="3">
        <f>GradebookTable[[#This Row],[midterm]]*0.2</f>
        <v>12.600000000000001</v>
      </c>
      <c r="W37" s="3">
        <f>GradebookTable[[#This Row],[final]]*0.3</f>
        <v>29.7</v>
      </c>
      <c r="X37" s="3">
        <f>SUM(GradebookTable[[#This Row],[assignment-weighted]:[final-weighted]])</f>
        <v>79.545454545454547</v>
      </c>
      <c r="Y37" s="3">
        <f>GradebookTable[[#This Row],[weighted-total]]-GradebookTable[[#This Row],[Average]]</f>
        <v>4.5454545454545467</v>
      </c>
    </row>
    <row r="38" spans="1:25" x14ac:dyDescent="0.2">
      <c r="A38" s="1" t="s">
        <v>49</v>
      </c>
      <c r="B38" s="1">
        <v>87</v>
      </c>
      <c r="C38" s="1">
        <v>93</v>
      </c>
      <c r="D38" s="1">
        <v>58</v>
      </c>
      <c r="E38" s="1">
        <v>98</v>
      </c>
      <c r="F38" s="1">
        <v>48</v>
      </c>
      <c r="G38" s="1">
        <v>35</v>
      </c>
      <c r="H38" s="1">
        <v>94</v>
      </c>
      <c r="I38" s="1">
        <v>82</v>
      </c>
      <c r="J38" s="1">
        <v>80</v>
      </c>
      <c r="K38" s="1">
        <v>61</v>
      </c>
      <c r="L38" s="1">
        <v>98</v>
      </c>
      <c r="M38" s="1">
        <v>67</v>
      </c>
      <c r="N38" s="1">
        <v>87</v>
      </c>
      <c r="O38" s="1">
        <v>81</v>
      </c>
      <c r="P38" s="1">
        <v>56</v>
      </c>
      <c r="Q38" s="2">
        <f>AVERAGE(B38:P38)</f>
        <v>75</v>
      </c>
      <c r="R38" s="3">
        <f>MAX(GradebookTable[[#This Row],[Assignment1]:[final]])</f>
        <v>98</v>
      </c>
      <c r="S38" s="3">
        <f>MIN(GradebookTable[[#This Row],[Assignment1]:[final]])</f>
        <v>35</v>
      </c>
      <c r="T38" s="3" cm="1">
        <f t="array" ref="T38">AVERAGE(GradebookTable[[#This Row],[Assignment1]:[Assignment11]]*0.3)</f>
        <v>22.745454545454546</v>
      </c>
      <c r="U38" s="3" cm="1">
        <f t="array" ref="U38">AVERAGE(GradebookTable[[#This Row],[paper1]:[paper2]]*0.2)</f>
        <v>15.400000000000002</v>
      </c>
      <c r="V38" s="3">
        <f>GradebookTable[[#This Row],[midterm]]*0.2</f>
        <v>16.2</v>
      </c>
      <c r="W38" s="3">
        <f>GradebookTable[[#This Row],[final]]*0.3</f>
        <v>16.8</v>
      </c>
      <c r="X38" s="3">
        <f>SUM(GradebookTable[[#This Row],[assignment-weighted]:[final-weighted]])</f>
        <v>71.145454545454541</v>
      </c>
      <c r="Y38" s="3">
        <f>GradebookTable[[#This Row],[weighted-total]]-GradebookTable[[#This Row],[Average]]</f>
        <v>-3.8545454545454589</v>
      </c>
    </row>
    <row r="39" spans="1:25" x14ac:dyDescent="0.2">
      <c r="A39" s="1" t="s">
        <v>50</v>
      </c>
      <c r="B39" s="1">
        <v>74</v>
      </c>
      <c r="C39" s="1">
        <v>92</v>
      </c>
      <c r="D39" s="1">
        <v>97</v>
      </c>
      <c r="E39" s="1">
        <v>97</v>
      </c>
      <c r="F39" s="1">
        <v>65</v>
      </c>
      <c r="G39" s="1">
        <v>99</v>
      </c>
      <c r="H39" s="1">
        <v>99</v>
      </c>
      <c r="I39" s="1">
        <v>42</v>
      </c>
      <c r="J39" s="1">
        <v>49</v>
      </c>
      <c r="K39" s="1">
        <v>95</v>
      </c>
      <c r="L39" s="1">
        <v>41</v>
      </c>
      <c r="M39" s="1">
        <v>70</v>
      </c>
      <c r="N39" s="1">
        <v>21</v>
      </c>
      <c r="O39" s="1">
        <v>90</v>
      </c>
      <c r="P39" s="1">
        <v>94</v>
      </c>
      <c r="Q39" s="2">
        <f>AVERAGE(B39:P39)</f>
        <v>75</v>
      </c>
      <c r="R39" s="3">
        <f>MAX(GradebookTable[[#This Row],[Assignment1]:[final]])</f>
        <v>99</v>
      </c>
      <c r="S39" s="3">
        <f>MIN(GradebookTable[[#This Row],[Assignment1]:[final]])</f>
        <v>21</v>
      </c>
      <c r="T39" s="3" cm="1">
        <f t="array" ref="T39">AVERAGE(GradebookTable[[#This Row],[Assignment1]:[Assignment11]]*0.3)</f>
        <v>23.18181818181818</v>
      </c>
      <c r="U39" s="3" cm="1">
        <f t="array" ref="U39">AVERAGE(GradebookTable[[#This Row],[paper1]:[paper2]]*0.2)</f>
        <v>9.1</v>
      </c>
      <c r="V39" s="3">
        <f>GradebookTable[[#This Row],[midterm]]*0.2</f>
        <v>18</v>
      </c>
      <c r="W39" s="3">
        <f>GradebookTable[[#This Row],[final]]*0.3</f>
        <v>28.2</v>
      </c>
      <c r="X39" s="3">
        <f>SUM(GradebookTable[[#This Row],[assignment-weighted]:[final-weighted]])</f>
        <v>78.481818181818184</v>
      </c>
      <c r="Y39" s="3">
        <f>GradebookTable[[#This Row],[weighted-total]]-GradebookTable[[#This Row],[Average]]</f>
        <v>3.4818181818181841</v>
      </c>
    </row>
    <row r="40" spans="1:25" x14ac:dyDescent="0.2">
      <c r="A40" s="1" t="s">
        <v>51</v>
      </c>
      <c r="B40" s="1">
        <v>61</v>
      </c>
      <c r="C40" s="1">
        <v>45</v>
      </c>
      <c r="D40" s="1">
        <v>78</v>
      </c>
      <c r="E40" s="1">
        <v>41</v>
      </c>
      <c r="F40" s="1">
        <v>86</v>
      </c>
      <c r="G40" s="1">
        <v>80</v>
      </c>
      <c r="H40" s="1">
        <v>94</v>
      </c>
      <c r="I40" s="1">
        <v>99</v>
      </c>
      <c r="J40" s="1">
        <v>98</v>
      </c>
      <c r="K40" s="1">
        <v>28</v>
      </c>
      <c r="L40" s="1">
        <v>61</v>
      </c>
      <c r="M40" s="1">
        <v>95</v>
      </c>
      <c r="N40" s="1">
        <v>81</v>
      </c>
      <c r="O40" s="1">
        <v>93</v>
      </c>
      <c r="P40" s="1">
        <v>85</v>
      </c>
      <c r="Q40" s="2">
        <f>AVERAGE(B40:P40)</f>
        <v>75</v>
      </c>
      <c r="R40" s="3">
        <f>MAX(GradebookTable[[#This Row],[Assignment1]:[final]])</f>
        <v>99</v>
      </c>
      <c r="S40" s="3">
        <f>MIN(GradebookTable[[#This Row],[Assignment1]:[final]])</f>
        <v>28</v>
      </c>
      <c r="T40" s="3" cm="1">
        <f t="array" ref="T40">AVERAGE(GradebookTable[[#This Row],[Assignment1]:[Assignment11]]*0.3)</f>
        <v>21.027272727272727</v>
      </c>
      <c r="U40" s="3" cm="1">
        <f t="array" ref="U40">AVERAGE(GradebookTable[[#This Row],[paper1]:[paper2]]*0.2)</f>
        <v>17.600000000000001</v>
      </c>
      <c r="V40" s="3">
        <f>GradebookTable[[#This Row],[midterm]]*0.2</f>
        <v>18.600000000000001</v>
      </c>
      <c r="W40" s="3">
        <f>GradebookTable[[#This Row],[final]]*0.3</f>
        <v>25.5</v>
      </c>
      <c r="X40" s="3">
        <f>SUM(GradebookTable[[#This Row],[assignment-weighted]:[final-weighted]])</f>
        <v>82.72727272727272</v>
      </c>
      <c r="Y40" s="3">
        <f>GradebookTable[[#This Row],[weighted-total]]-GradebookTable[[#This Row],[Average]]</f>
        <v>7.7272727272727195</v>
      </c>
    </row>
    <row r="41" spans="1:25" x14ac:dyDescent="0.2">
      <c r="A41" s="1" t="s">
        <v>52</v>
      </c>
      <c r="B41" s="1">
        <v>98</v>
      </c>
      <c r="C41" s="1">
        <v>96</v>
      </c>
      <c r="D41" s="1">
        <v>85</v>
      </c>
      <c r="E41" s="1">
        <v>66</v>
      </c>
      <c r="F41" s="1">
        <v>57</v>
      </c>
      <c r="G41" s="1">
        <v>31</v>
      </c>
      <c r="H41" s="1">
        <v>87</v>
      </c>
      <c r="I41" s="1">
        <v>85</v>
      </c>
      <c r="J41" s="1">
        <v>93</v>
      </c>
      <c r="K41" s="1">
        <v>73</v>
      </c>
      <c r="L41" s="1">
        <v>51</v>
      </c>
      <c r="M41" s="1">
        <v>70</v>
      </c>
      <c r="N41" s="1">
        <v>65</v>
      </c>
      <c r="O41" s="1">
        <v>81</v>
      </c>
      <c r="P41" s="1">
        <v>87</v>
      </c>
      <c r="Q41" s="2">
        <f>AVERAGE(B41:P41)</f>
        <v>75</v>
      </c>
      <c r="R41" s="3">
        <f>MAX(GradebookTable[[#This Row],[Assignment1]:[final]])</f>
        <v>98</v>
      </c>
      <c r="S41" s="3">
        <f>MIN(GradebookTable[[#This Row],[Assignment1]:[final]])</f>
        <v>31</v>
      </c>
      <c r="T41" s="3" cm="1">
        <f t="array" ref="T41">AVERAGE(GradebookTable[[#This Row],[Assignment1]:[Assignment11]]*0.3)</f>
        <v>22.418181818181818</v>
      </c>
      <c r="U41" s="3" cm="1">
        <f t="array" ref="U41">AVERAGE(GradebookTable[[#This Row],[paper1]:[paper2]]*0.2)</f>
        <v>13.5</v>
      </c>
      <c r="V41" s="3">
        <f>GradebookTable[[#This Row],[midterm]]*0.2</f>
        <v>16.2</v>
      </c>
      <c r="W41" s="3">
        <f>GradebookTable[[#This Row],[final]]*0.3</f>
        <v>26.099999999999998</v>
      </c>
      <c r="X41" s="3">
        <f>SUM(GradebookTable[[#This Row],[assignment-weighted]:[final-weighted]])</f>
        <v>78.218181818181819</v>
      </c>
      <c r="Y41" s="3">
        <f>GradebookTable[[#This Row],[weighted-total]]-GradebookTable[[#This Row],[Average]]</f>
        <v>3.2181818181818187</v>
      </c>
    </row>
    <row r="42" spans="1:25" x14ac:dyDescent="0.2">
      <c r="A42" s="1" t="s">
        <v>53</v>
      </c>
      <c r="B42" s="1">
        <v>81</v>
      </c>
      <c r="C42" s="1">
        <v>70</v>
      </c>
      <c r="D42" s="1">
        <v>75</v>
      </c>
      <c r="E42" s="1">
        <v>74</v>
      </c>
      <c r="F42" s="1">
        <v>70</v>
      </c>
      <c r="G42" s="1">
        <v>96</v>
      </c>
      <c r="H42" s="1">
        <v>84</v>
      </c>
      <c r="I42" s="1">
        <v>74</v>
      </c>
      <c r="J42" s="1">
        <v>64</v>
      </c>
      <c r="K42" s="1">
        <v>92</v>
      </c>
      <c r="L42" s="1">
        <v>31</v>
      </c>
      <c r="M42" s="1">
        <v>87</v>
      </c>
      <c r="N42" s="1">
        <v>96</v>
      </c>
      <c r="O42" s="1">
        <v>39</v>
      </c>
      <c r="P42" s="1">
        <v>92</v>
      </c>
      <c r="Q42" s="2">
        <f>AVERAGE(B42:P42)</f>
        <v>75</v>
      </c>
      <c r="R42" s="3">
        <f>MAX(GradebookTable[[#This Row],[Assignment1]:[final]])</f>
        <v>96</v>
      </c>
      <c r="S42" s="3">
        <f>MIN(GradebookTable[[#This Row],[Assignment1]:[final]])</f>
        <v>31</v>
      </c>
      <c r="T42" s="3" cm="1">
        <f t="array" ref="T42">AVERAGE(GradebookTable[[#This Row],[Assignment1]:[Assignment11]]*0.3)</f>
        <v>22.118181818181817</v>
      </c>
      <c r="U42" s="3" cm="1">
        <f t="array" ref="U42">AVERAGE(GradebookTable[[#This Row],[paper1]:[paper2]]*0.2)</f>
        <v>18.300000000000004</v>
      </c>
      <c r="V42" s="3">
        <f>GradebookTable[[#This Row],[midterm]]*0.2</f>
        <v>7.8000000000000007</v>
      </c>
      <c r="W42" s="3">
        <f>GradebookTable[[#This Row],[final]]*0.3</f>
        <v>27.599999999999998</v>
      </c>
      <c r="X42" s="3">
        <f>SUM(GradebookTable[[#This Row],[assignment-weighted]:[final-weighted]])</f>
        <v>75.818181818181813</v>
      </c>
      <c r="Y42" s="3">
        <f>GradebookTable[[#This Row],[weighted-total]]-GradebookTable[[#This Row],[Average]]</f>
        <v>0.81818181818181301</v>
      </c>
    </row>
    <row r="43" spans="1:25" x14ac:dyDescent="0.2">
      <c r="A43" s="1" t="s">
        <v>54</v>
      </c>
      <c r="B43" s="1">
        <v>99</v>
      </c>
      <c r="C43" s="1">
        <v>72</v>
      </c>
      <c r="D43" s="1">
        <v>77</v>
      </c>
      <c r="E43" s="1">
        <v>99</v>
      </c>
      <c r="F43" s="1">
        <v>84</v>
      </c>
      <c r="G43" s="1">
        <v>83</v>
      </c>
      <c r="H43" s="1">
        <v>65</v>
      </c>
      <c r="I43" s="1">
        <v>84</v>
      </c>
      <c r="J43" s="1">
        <v>93</v>
      </c>
      <c r="K43" s="1">
        <v>94</v>
      </c>
      <c r="L43" s="1">
        <v>79</v>
      </c>
      <c r="M43" s="1">
        <v>46</v>
      </c>
      <c r="N43" s="1">
        <v>30</v>
      </c>
      <c r="O43" s="1">
        <v>94</v>
      </c>
      <c r="P43" s="1">
        <v>26</v>
      </c>
      <c r="Q43" s="2">
        <f>AVERAGE(B43:P43)</f>
        <v>75</v>
      </c>
      <c r="R43" s="3">
        <f>MAX(GradebookTable[[#This Row],[Assignment1]:[final]])</f>
        <v>99</v>
      </c>
      <c r="S43" s="3">
        <f>MIN(GradebookTable[[#This Row],[Assignment1]:[final]])</f>
        <v>26</v>
      </c>
      <c r="T43" s="3" cm="1">
        <f t="array" ref="T43">AVERAGE(GradebookTable[[#This Row],[Assignment1]:[Assignment11]]*0.3)</f>
        <v>25.336363636363636</v>
      </c>
      <c r="U43" s="3" cm="1">
        <f t="array" ref="U43">AVERAGE(GradebookTable[[#This Row],[paper1]:[paper2]]*0.2)</f>
        <v>7.6000000000000005</v>
      </c>
      <c r="V43" s="3">
        <f>GradebookTable[[#This Row],[midterm]]*0.2</f>
        <v>18.8</v>
      </c>
      <c r="W43" s="3">
        <f>GradebookTable[[#This Row],[final]]*0.3</f>
        <v>7.8</v>
      </c>
      <c r="X43" s="3">
        <f>SUM(GradebookTable[[#This Row],[assignment-weighted]:[final-weighted]])</f>
        <v>59.536363636363632</v>
      </c>
      <c r="Y43" s="3">
        <f>GradebookTable[[#This Row],[weighted-total]]-GradebookTable[[#This Row],[Average]]</f>
        <v>-15.463636363636368</v>
      </c>
    </row>
    <row r="44" spans="1:25" x14ac:dyDescent="0.2">
      <c r="A44" s="1" t="s">
        <v>55</v>
      </c>
      <c r="B44" s="1">
        <v>96</v>
      </c>
      <c r="C44" s="1">
        <v>89</v>
      </c>
      <c r="D44" s="1">
        <v>83</v>
      </c>
      <c r="E44" s="1">
        <v>65</v>
      </c>
      <c r="F44" s="1">
        <v>92</v>
      </c>
      <c r="G44" s="1">
        <v>47</v>
      </c>
      <c r="H44" s="1">
        <v>45</v>
      </c>
      <c r="I44" s="1">
        <v>93</v>
      </c>
      <c r="J44" s="1">
        <v>69</v>
      </c>
      <c r="K44" s="1">
        <v>32</v>
      </c>
      <c r="L44" s="1">
        <v>95</v>
      </c>
      <c r="M44" s="1">
        <v>90</v>
      </c>
      <c r="N44" s="1">
        <v>83</v>
      </c>
      <c r="O44" s="1">
        <v>58</v>
      </c>
      <c r="P44" s="1">
        <v>88</v>
      </c>
      <c r="Q44" s="2">
        <f>AVERAGE(B44:P44)</f>
        <v>75</v>
      </c>
      <c r="R44" s="3">
        <f>MAX(GradebookTable[[#This Row],[Assignment1]:[final]])</f>
        <v>96</v>
      </c>
      <c r="S44" s="3">
        <f>MIN(GradebookTable[[#This Row],[Assignment1]:[final]])</f>
        <v>32</v>
      </c>
      <c r="T44" s="3" cm="1">
        <f t="array" ref="T44">AVERAGE(GradebookTable[[#This Row],[Assignment1]:[Assignment11]]*0.3)</f>
        <v>21.981818181818181</v>
      </c>
      <c r="U44" s="3" cm="1">
        <f t="array" ref="U44">AVERAGE(GradebookTable[[#This Row],[paper1]:[paper2]]*0.2)</f>
        <v>17.3</v>
      </c>
      <c r="V44" s="3">
        <f>GradebookTable[[#This Row],[midterm]]*0.2</f>
        <v>11.600000000000001</v>
      </c>
      <c r="W44" s="3">
        <f>GradebookTable[[#This Row],[final]]*0.3</f>
        <v>26.4</v>
      </c>
      <c r="X44" s="3">
        <f>SUM(GradebookTable[[#This Row],[assignment-weighted]:[final-weighted]])</f>
        <v>77.281818181818181</v>
      </c>
      <c r="Y44" s="3">
        <f>GradebookTable[[#This Row],[weighted-total]]-GradebookTable[[#This Row],[Average]]</f>
        <v>2.2818181818181813</v>
      </c>
    </row>
    <row r="45" spans="1:25" x14ac:dyDescent="0.2">
      <c r="A45" s="1" t="s">
        <v>56</v>
      </c>
      <c r="B45" s="1">
        <v>59</v>
      </c>
      <c r="C45" s="1">
        <v>99</v>
      </c>
      <c r="D45" s="1">
        <v>64</v>
      </c>
      <c r="E45" s="1">
        <v>92</v>
      </c>
      <c r="F45" s="1">
        <v>91</v>
      </c>
      <c r="G45" s="1">
        <v>80</v>
      </c>
      <c r="H45" s="1">
        <v>69</v>
      </c>
      <c r="I45" s="1">
        <v>61</v>
      </c>
      <c r="J45" s="1">
        <v>58</v>
      </c>
      <c r="K45" s="1">
        <v>46</v>
      </c>
      <c r="L45" s="1">
        <v>96</v>
      </c>
      <c r="M45" s="1">
        <v>84</v>
      </c>
      <c r="N45" s="1">
        <v>83</v>
      </c>
      <c r="O45" s="1">
        <v>98</v>
      </c>
      <c r="P45" s="1">
        <v>45</v>
      </c>
      <c r="Q45" s="2">
        <f>AVERAGE(B45:P45)</f>
        <v>75</v>
      </c>
      <c r="R45" s="3">
        <f>MAX(GradebookTable[[#This Row],[Assignment1]:[final]])</f>
        <v>99</v>
      </c>
      <c r="S45" s="3">
        <f>MIN(GradebookTable[[#This Row],[Assignment1]:[final]])</f>
        <v>45</v>
      </c>
      <c r="T45" s="3" cm="1">
        <f t="array" ref="T45">AVERAGE(GradebookTable[[#This Row],[Assignment1]:[Assignment11]]*0.3)</f>
        <v>22.227272727272727</v>
      </c>
      <c r="U45" s="3" cm="1">
        <f t="array" ref="U45">AVERAGE(GradebookTable[[#This Row],[paper1]:[paper2]]*0.2)</f>
        <v>16.700000000000003</v>
      </c>
      <c r="V45" s="3">
        <f>GradebookTable[[#This Row],[midterm]]*0.2</f>
        <v>19.600000000000001</v>
      </c>
      <c r="W45" s="3">
        <f>GradebookTable[[#This Row],[final]]*0.3</f>
        <v>13.5</v>
      </c>
      <c r="X45" s="3">
        <f>SUM(GradebookTable[[#This Row],[assignment-weighted]:[final-weighted]])</f>
        <v>72.027272727272731</v>
      </c>
      <c r="Y45" s="3">
        <f>GradebookTable[[#This Row],[weighted-total]]-GradebookTable[[#This Row],[Average]]</f>
        <v>-2.9727272727272691</v>
      </c>
    </row>
    <row r="46" spans="1:25" x14ac:dyDescent="0.2">
      <c r="A46" s="1" t="s">
        <v>57</v>
      </c>
      <c r="B46" s="1">
        <v>84</v>
      </c>
      <c r="C46" s="1">
        <v>95</v>
      </c>
      <c r="D46" s="1">
        <v>39</v>
      </c>
      <c r="E46" s="1">
        <v>81</v>
      </c>
      <c r="F46" s="1">
        <v>84</v>
      </c>
      <c r="G46" s="1">
        <v>54</v>
      </c>
      <c r="H46" s="1">
        <v>94</v>
      </c>
      <c r="I46" s="1">
        <v>55</v>
      </c>
      <c r="J46" s="1">
        <v>87</v>
      </c>
      <c r="K46" s="1">
        <v>73</v>
      </c>
      <c r="L46" s="1">
        <v>91</v>
      </c>
      <c r="M46" s="1">
        <v>98</v>
      </c>
      <c r="N46" s="1">
        <v>66</v>
      </c>
      <c r="O46" s="1">
        <v>86</v>
      </c>
      <c r="P46" s="1">
        <v>38</v>
      </c>
      <c r="Q46" s="2">
        <f>AVERAGE(B46:P46)</f>
        <v>75</v>
      </c>
      <c r="R46" s="3">
        <f>MAX(GradebookTable[[#This Row],[Assignment1]:[final]])</f>
        <v>98</v>
      </c>
      <c r="S46" s="3">
        <f>MIN(GradebookTable[[#This Row],[Assignment1]:[final]])</f>
        <v>38</v>
      </c>
      <c r="T46" s="3" cm="1">
        <f t="array" ref="T46">AVERAGE(GradebookTable[[#This Row],[Assignment1]:[Assignment11]]*0.3)</f>
        <v>22.827272727272728</v>
      </c>
      <c r="U46" s="3" cm="1">
        <f t="array" ref="U46">AVERAGE(GradebookTable[[#This Row],[paper1]:[paper2]]*0.2)</f>
        <v>16.400000000000002</v>
      </c>
      <c r="V46" s="3">
        <f>GradebookTable[[#This Row],[midterm]]*0.2</f>
        <v>17.2</v>
      </c>
      <c r="W46" s="3">
        <f>GradebookTable[[#This Row],[final]]*0.3</f>
        <v>11.4</v>
      </c>
      <c r="X46" s="3">
        <f>SUM(GradebookTable[[#This Row],[assignment-weighted]:[final-weighted]])</f>
        <v>67.827272727272742</v>
      </c>
      <c r="Y46" s="3">
        <f>GradebookTable[[#This Row],[weighted-total]]-GradebookTable[[#This Row],[Average]]</f>
        <v>-7.1727272727272577</v>
      </c>
    </row>
    <row r="47" spans="1:25" x14ac:dyDescent="0.2">
      <c r="A47" s="1" t="s">
        <v>58</v>
      </c>
      <c r="B47" s="1">
        <v>67</v>
      </c>
      <c r="C47" s="1">
        <v>91</v>
      </c>
      <c r="D47" s="1">
        <v>38</v>
      </c>
      <c r="E47" s="1">
        <v>78</v>
      </c>
      <c r="F47" s="1">
        <v>59</v>
      </c>
      <c r="G47" s="1">
        <v>94</v>
      </c>
      <c r="H47" s="1">
        <v>96</v>
      </c>
      <c r="I47" s="1">
        <v>74</v>
      </c>
      <c r="J47" s="1">
        <v>99</v>
      </c>
      <c r="K47" s="1">
        <v>86</v>
      </c>
      <c r="L47" s="1">
        <v>45</v>
      </c>
      <c r="M47" s="1">
        <v>86</v>
      </c>
      <c r="N47" s="1">
        <v>62</v>
      </c>
      <c r="O47" s="1">
        <v>55</v>
      </c>
      <c r="P47" s="1">
        <v>95</v>
      </c>
      <c r="Q47" s="2">
        <f>AVERAGE(B47:P47)</f>
        <v>75</v>
      </c>
      <c r="R47" s="3">
        <f>MAX(GradebookTable[[#This Row],[Assignment1]:[final]])</f>
        <v>99</v>
      </c>
      <c r="S47" s="3">
        <f>MIN(GradebookTable[[#This Row],[Assignment1]:[final]])</f>
        <v>38</v>
      </c>
      <c r="T47" s="3" cm="1">
        <f t="array" ref="T47">AVERAGE(GradebookTable[[#This Row],[Assignment1]:[Assignment11]]*0.3)</f>
        <v>22.554545454545451</v>
      </c>
      <c r="U47" s="3" cm="1">
        <f t="array" ref="U47">AVERAGE(GradebookTable[[#This Row],[paper1]:[paper2]]*0.2)</f>
        <v>14.8</v>
      </c>
      <c r="V47" s="3">
        <f>GradebookTable[[#This Row],[midterm]]*0.2</f>
        <v>11</v>
      </c>
      <c r="W47" s="3">
        <f>GradebookTable[[#This Row],[final]]*0.3</f>
        <v>28.5</v>
      </c>
      <c r="X47" s="3">
        <f>SUM(GradebookTable[[#This Row],[assignment-weighted]:[final-weighted]])</f>
        <v>76.854545454545445</v>
      </c>
      <c r="Y47" s="3">
        <f>GradebookTable[[#This Row],[weighted-total]]-GradebookTable[[#This Row],[Average]]</f>
        <v>1.8545454545454447</v>
      </c>
    </row>
    <row r="48" spans="1:25" x14ac:dyDescent="0.2">
      <c r="A48" s="1" t="s">
        <v>59</v>
      </c>
      <c r="B48" s="1">
        <v>7</v>
      </c>
      <c r="C48" s="1">
        <v>93</v>
      </c>
      <c r="D48" s="1">
        <v>87</v>
      </c>
      <c r="E48" s="1">
        <v>31</v>
      </c>
      <c r="F48" s="1">
        <v>98</v>
      </c>
      <c r="G48" s="1">
        <v>93</v>
      </c>
      <c r="H48" s="1">
        <v>97</v>
      </c>
      <c r="I48" s="1">
        <v>91</v>
      </c>
      <c r="J48" s="1">
        <v>96</v>
      </c>
      <c r="K48" s="1">
        <v>95</v>
      </c>
      <c r="L48" s="1">
        <v>86</v>
      </c>
      <c r="M48" s="1">
        <v>34</v>
      </c>
      <c r="N48" s="1">
        <v>75</v>
      </c>
      <c r="O48" s="1">
        <v>96</v>
      </c>
      <c r="P48" s="1">
        <v>46</v>
      </c>
      <c r="Q48" s="2">
        <f>AVERAGE(B48:P48)</f>
        <v>75</v>
      </c>
      <c r="R48" s="3">
        <f>MAX(GradebookTable[[#This Row],[Assignment1]:[final]])</f>
        <v>98</v>
      </c>
      <c r="S48" s="3">
        <f>MIN(GradebookTable[[#This Row],[Assignment1]:[final]])</f>
        <v>7</v>
      </c>
      <c r="T48" s="3" cm="1">
        <f t="array" ref="T48">AVERAGE(GradebookTable[[#This Row],[Assignment1]:[Assignment11]]*0.3)</f>
        <v>23.836363636363636</v>
      </c>
      <c r="U48" s="3" cm="1">
        <f t="array" ref="U48">AVERAGE(GradebookTable[[#This Row],[paper1]:[paper2]]*0.2)</f>
        <v>10.9</v>
      </c>
      <c r="V48" s="3">
        <f>GradebookTable[[#This Row],[midterm]]*0.2</f>
        <v>19.200000000000003</v>
      </c>
      <c r="W48" s="3">
        <f>GradebookTable[[#This Row],[final]]*0.3</f>
        <v>13.799999999999999</v>
      </c>
      <c r="X48" s="3">
        <f>SUM(GradebookTable[[#This Row],[assignment-weighted]:[final-weighted]])</f>
        <v>67.736363636363635</v>
      </c>
      <c r="Y48" s="3">
        <f>GradebookTable[[#This Row],[weighted-total]]-GradebookTable[[#This Row],[Average]]</f>
        <v>-7.2636363636363654</v>
      </c>
    </row>
    <row r="49" spans="1:25" x14ac:dyDescent="0.2">
      <c r="A49" s="1" t="s">
        <v>60</v>
      </c>
      <c r="B49" s="1">
        <v>53</v>
      </c>
      <c r="C49" s="1">
        <v>84</v>
      </c>
      <c r="D49" s="1">
        <v>67</v>
      </c>
      <c r="E49" s="1">
        <v>59</v>
      </c>
      <c r="F49" s="1">
        <v>76</v>
      </c>
      <c r="G49" s="1">
        <v>94</v>
      </c>
      <c r="H49" s="1">
        <v>77</v>
      </c>
      <c r="I49" s="1">
        <v>91</v>
      </c>
      <c r="J49" s="1">
        <v>94</v>
      </c>
      <c r="K49" s="1">
        <v>33</v>
      </c>
      <c r="L49" s="1">
        <v>83</v>
      </c>
      <c r="M49" s="1">
        <v>66</v>
      </c>
      <c r="N49" s="1">
        <v>69</v>
      </c>
      <c r="O49" s="1">
        <v>89</v>
      </c>
      <c r="P49" s="1">
        <v>90</v>
      </c>
      <c r="Q49" s="2">
        <f>AVERAGE(B49:P49)</f>
        <v>75</v>
      </c>
      <c r="R49" s="3">
        <f>MAX(GradebookTable[[#This Row],[Assignment1]:[final]])</f>
        <v>94</v>
      </c>
      <c r="S49" s="3">
        <f>MIN(GradebookTable[[#This Row],[Assignment1]:[final]])</f>
        <v>33</v>
      </c>
      <c r="T49" s="3" cm="1">
        <f t="array" ref="T49">AVERAGE(GradebookTable[[#This Row],[Assignment1]:[Assignment11]]*0.3)</f>
        <v>22.118181818181817</v>
      </c>
      <c r="U49" s="3" cm="1">
        <f t="array" ref="U49">AVERAGE(GradebookTable[[#This Row],[paper1]:[paper2]]*0.2)</f>
        <v>13.5</v>
      </c>
      <c r="V49" s="3">
        <f>GradebookTable[[#This Row],[midterm]]*0.2</f>
        <v>17.8</v>
      </c>
      <c r="W49" s="3">
        <f>GradebookTable[[#This Row],[final]]*0.3</f>
        <v>27</v>
      </c>
      <c r="X49" s="3">
        <f>SUM(GradebookTable[[#This Row],[assignment-weighted]:[final-weighted]])</f>
        <v>80.418181818181822</v>
      </c>
      <c r="Y49" s="3">
        <f>GradebookTable[[#This Row],[weighted-total]]-GradebookTable[[#This Row],[Average]]</f>
        <v>5.4181818181818215</v>
      </c>
    </row>
    <row r="50" spans="1:25" x14ac:dyDescent="0.2">
      <c r="A50" s="1" t="s">
        <v>61</v>
      </c>
      <c r="B50" s="1">
        <v>99</v>
      </c>
      <c r="C50" s="1">
        <v>92</v>
      </c>
      <c r="D50" s="1">
        <v>98</v>
      </c>
      <c r="E50" s="1">
        <v>78</v>
      </c>
      <c r="F50" s="1">
        <v>22</v>
      </c>
      <c r="G50" s="1">
        <v>17</v>
      </c>
      <c r="H50" s="1">
        <v>74</v>
      </c>
      <c r="I50" s="1">
        <v>96</v>
      </c>
      <c r="J50" s="1">
        <v>94</v>
      </c>
      <c r="K50" s="1">
        <v>76</v>
      </c>
      <c r="L50" s="1">
        <v>76</v>
      </c>
      <c r="M50" s="1">
        <v>73</v>
      </c>
      <c r="N50" s="1">
        <v>90</v>
      </c>
      <c r="O50" s="1">
        <v>77</v>
      </c>
      <c r="P50" s="1">
        <v>63</v>
      </c>
      <c r="Q50" s="2">
        <f>AVERAGE(B50:P50)</f>
        <v>75</v>
      </c>
      <c r="R50" s="3">
        <f>MAX(GradebookTable[[#This Row],[Assignment1]:[final]])</f>
        <v>99</v>
      </c>
      <c r="S50" s="3">
        <f>MIN(GradebookTable[[#This Row],[Assignment1]:[final]])</f>
        <v>17</v>
      </c>
      <c r="T50" s="3" cm="1">
        <f t="array" ref="T50">AVERAGE(GradebookTable[[#This Row],[Assignment1]:[Assignment11]]*0.3)</f>
        <v>22.418181818181814</v>
      </c>
      <c r="U50" s="3" cm="1">
        <f t="array" ref="U50">AVERAGE(GradebookTable[[#This Row],[paper1]:[paper2]]*0.2)</f>
        <v>16.3</v>
      </c>
      <c r="V50" s="3">
        <f>GradebookTable[[#This Row],[midterm]]*0.2</f>
        <v>15.4</v>
      </c>
      <c r="W50" s="3">
        <f>GradebookTable[[#This Row],[final]]*0.3</f>
        <v>18.899999999999999</v>
      </c>
      <c r="X50" s="3">
        <f>SUM(GradebookTable[[#This Row],[assignment-weighted]:[final-weighted]])</f>
        <v>73.018181818181816</v>
      </c>
      <c r="Y50" s="3">
        <f>GradebookTable[[#This Row],[weighted-total]]-GradebookTable[[#This Row],[Average]]</f>
        <v>-1.9818181818181841</v>
      </c>
    </row>
    <row r="51" spans="1:25" x14ac:dyDescent="0.2">
      <c r="A51" s="1" t="s">
        <v>62</v>
      </c>
      <c r="B51" s="1">
        <v>99</v>
      </c>
      <c r="C51" s="1">
        <v>71</v>
      </c>
      <c r="D51" s="1">
        <v>97</v>
      </c>
      <c r="E51" s="1">
        <v>58</v>
      </c>
      <c r="F51" s="1">
        <v>85</v>
      </c>
      <c r="G51" s="1">
        <v>84</v>
      </c>
      <c r="H51" s="1">
        <v>85</v>
      </c>
      <c r="I51" s="1">
        <v>79</v>
      </c>
      <c r="J51" s="1">
        <v>86</v>
      </c>
      <c r="K51" s="1">
        <v>77</v>
      </c>
      <c r="L51" s="1">
        <v>64</v>
      </c>
      <c r="M51" s="1">
        <v>86</v>
      </c>
      <c r="N51" s="1">
        <v>51</v>
      </c>
      <c r="O51" s="1">
        <v>95</v>
      </c>
      <c r="P51" s="1">
        <v>8</v>
      </c>
      <c r="Q51" s="2">
        <f>AVERAGE(B51:P51)</f>
        <v>75</v>
      </c>
      <c r="R51" s="3">
        <f>MAX(GradebookTable[[#This Row],[Assignment1]:[final]])</f>
        <v>99</v>
      </c>
      <c r="S51" s="3">
        <f>MIN(GradebookTable[[#This Row],[Assignment1]:[final]])</f>
        <v>8</v>
      </c>
      <c r="T51" s="3" cm="1">
        <f t="array" ref="T51">AVERAGE(GradebookTable[[#This Row],[Assignment1]:[Assignment11]]*0.3)</f>
        <v>24.136363636363637</v>
      </c>
      <c r="U51" s="3" cm="1">
        <f t="array" ref="U51">AVERAGE(GradebookTable[[#This Row],[paper1]:[paper2]]*0.2)</f>
        <v>13.7</v>
      </c>
      <c r="V51" s="3">
        <f>GradebookTable[[#This Row],[midterm]]*0.2</f>
        <v>19</v>
      </c>
      <c r="W51" s="3">
        <f>GradebookTable[[#This Row],[final]]*0.3</f>
        <v>2.4</v>
      </c>
      <c r="X51" s="3">
        <f>SUM(GradebookTable[[#This Row],[assignment-weighted]:[final-weighted]])</f>
        <v>59.236363636363635</v>
      </c>
      <c r="Y51" s="3">
        <f>GradebookTable[[#This Row],[weighted-total]]-GradebookTable[[#This Row],[Average]]</f>
        <v>-15.763636363636365</v>
      </c>
    </row>
    <row r="52" spans="1:25" x14ac:dyDescent="0.2">
      <c r="A52" s="1" t="s">
        <v>63</v>
      </c>
      <c r="B52" s="1">
        <v>85</v>
      </c>
      <c r="C52" s="1">
        <v>85</v>
      </c>
      <c r="D52" s="1">
        <v>86</v>
      </c>
      <c r="E52" s="1">
        <v>76</v>
      </c>
      <c r="F52" s="1">
        <v>94</v>
      </c>
      <c r="G52" s="1">
        <v>47</v>
      </c>
      <c r="H52" s="1">
        <v>75</v>
      </c>
      <c r="I52" s="1">
        <v>35</v>
      </c>
      <c r="J52" s="1">
        <v>55</v>
      </c>
      <c r="K52" s="1">
        <v>86</v>
      </c>
      <c r="L52" s="1">
        <v>94</v>
      </c>
      <c r="M52" s="1">
        <v>50</v>
      </c>
      <c r="N52" s="1">
        <v>74</v>
      </c>
      <c r="O52" s="1">
        <v>93</v>
      </c>
      <c r="P52" s="1">
        <v>90</v>
      </c>
      <c r="Q52" s="2">
        <f>AVERAGE(B52:P52)</f>
        <v>75</v>
      </c>
      <c r="R52" s="3">
        <f>MAX(GradebookTable[[#This Row],[Assignment1]:[final]])</f>
        <v>94</v>
      </c>
      <c r="S52" s="3">
        <f>MIN(GradebookTable[[#This Row],[Assignment1]:[final]])</f>
        <v>35</v>
      </c>
      <c r="T52" s="3" cm="1">
        <f t="array" ref="T52">AVERAGE(GradebookTable[[#This Row],[Assignment1]:[Assignment11]]*0.3)</f>
        <v>22.309090909090909</v>
      </c>
      <c r="U52" s="3" cm="1">
        <f t="array" ref="U52">AVERAGE(GradebookTable[[#This Row],[paper1]:[paper2]]*0.2)</f>
        <v>12.4</v>
      </c>
      <c r="V52" s="3">
        <f>GradebookTable[[#This Row],[midterm]]*0.2</f>
        <v>18.600000000000001</v>
      </c>
      <c r="W52" s="3">
        <f>GradebookTable[[#This Row],[final]]*0.3</f>
        <v>27</v>
      </c>
      <c r="X52" s="3">
        <f>SUM(GradebookTable[[#This Row],[assignment-weighted]:[final-weighted]])</f>
        <v>80.309090909090912</v>
      </c>
      <c r="Y52" s="3">
        <f>GradebookTable[[#This Row],[weighted-total]]-GradebookTable[[#This Row],[Average]]</f>
        <v>5.3090909090909122</v>
      </c>
    </row>
    <row r="53" spans="1:25" x14ac:dyDescent="0.2">
      <c r="A53" s="1" t="s">
        <v>64</v>
      </c>
      <c r="B53" s="1">
        <v>97</v>
      </c>
      <c r="C53" s="1">
        <v>98</v>
      </c>
      <c r="D53" s="1">
        <v>86</v>
      </c>
      <c r="E53" s="1">
        <v>65</v>
      </c>
      <c r="F53" s="1">
        <v>15</v>
      </c>
      <c r="G53" s="1">
        <v>92</v>
      </c>
      <c r="H53" s="1">
        <v>67</v>
      </c>
      <c r="I53" s="1">
        <v>96</v>
      </c>
      <c r="J53" s="1">
        <v>64</v>
      </c>
      <c r="K53" s="1">
        <v>96</v>
      </c>
      <c r="L53" s="1">
        <v>91</v>
      </c>
      <c r="M53" s="1">
        <v>80</v>
      </c>
      <c r="N53" s="1">
        <v>18</v>
      </c>
      <c r="O53" s="1">
        <v>69</v>
      </c>
      <c r="P53" s="1">
        <v>91</v>
      </c>
      <c r="Q53" s="2">
        <f>AVERAGE(B53:P53)</f>
        <v>75</v>
      </c>
      <c r="R53" s="3">
        <f>MAX(GradebookTable[[#This Row],[Assignment1]:[final]])</f>
        <v>98</v>
      </c>
      <c r="S53" s="3">
        <f>MIN(GradebookTable[[#This Row],[Assignment1]:[final]])</f>
        <v>15</v>
      </c>
      <c r="T53" s="3" cm="1">
        <f t="array" ref="T53">AVERAGE(GradebookTable[[#This Row],[Assignment1]:[Assignment11]]*0.3)</f>
        <v>23.645454545454548</v>
      </c>
      <c r="U53" s="3" cm="1">
        <f t="array" ref="U53">AVERAGE(GradebookTable[[#This Row],[paper1]:[paper2]]*0.2)</f>
        <v>9.8000000000000007</v>
      </c>
      <c r="V53" s="3">
        <f>GradebookTable[[#This Row],[midterm]]*0.2</f>
        <v>13.8</v>
      </c>
      <c r="W53" s="3">
        <f>GradebookTable[[#This Row],[final]]*0.3</f>
        <v>27.3</v>
      </c>
      <c r="X53" s="3">
        <f>SUM(GradebookTable[[#This Row],[assignment-weighted]:[final-weighted]])</f>
        <v>74.545454545454547</v>
      </c>
      <c r="Y53" s="3">
        <f>GradebookTable[[#This Row],[weighted-total]]-GradebookTable[[#This Row],[Average]]</f>
        <v>-0.45454545454545325</v>
      </c>
    </row>
    <row r="54" spans="1:25" x14ac:dyDescent="0.2">
      <c r="A54" s="1" t="s">
        <v>65</v>
      </c>
      <c r="B54" s="1">
        <v>96</v>
      </c>
      <c r="C54" s="1">
        <v>92</v>
      </c>
      <c r="D54" s="1">
        <v>47</v>
      </c>
      <c r="E54" s="1">
        <v>89</v>
      </c>
      <c r="F54" s="1">
        <v>99</v>
      </c>
      <c r="G54" s="1">
        <v>50</v>
      </c>
      <c r="H54" s="1">
        <v>77</v>
      </c>
      <c r="I54" s="1">
        <v>48</v>
      </c>
      <c r="J54" s="1">
        <v>76</v>
      </c>
      <c r="K54" s="1">
        <v>87</v>
      </c>
      <c r="L54" s="1">
        <v>87</v>
      </c>
      <c r="M54" s="1">
        <v>42</v>
      </c>
      <c r="N54" s="1">
        <v>78</v>
      </c>
      <c r="O54" s="1">
        <v>76</v>
      </c>
      <c r="P54" s="1">
        <v>81</v>
      </c>
      <c r="Q54" s="2">
        <f>AVERAGE(B54:P54)</f>
        <v>75</v>
      </c>
      <c r="R54" s="3">
        <f>MAX(GradebookTable[[#This Row],[Assignment1]:[final]])</f>
        <v>99</v>
      </c>
      <c r="S54" s="3">
        <f>MIN(GradebookTable[[#This Row],[Assignment1]:[final]])</f>
        <v>42</v>
      </c>
      <c r="T54" s="3" cm="1">
        <f t="array" ref="T54">AVERAGE(GradebookTable[[#This Row],[Assignment1]:[Assignment11]]*0.3)</f>
        <v>23.127272727272725</v>
      </c>
      <c r="U54" s="3" cm="1">
        <f t="array" ref="U54">AVERAGE(GradebookTable[[#This Row],[paper1]:[paper2]]*0.2)</f>
        <v>12</v>
      </c>
      <c r="V54" s="3">
        <f>GradebookTable[[#This Row],[midterm]]*0.2</f>
        <v>15.200000000000001</v>
      </c>
      <c r="W54" s="3">
        <f>GradebookTable[[#This Row],[final]]*0.3</f>
        <v>24.3</v>
      </c>
      <c r="X54" s="3">
        <f>SUM(GradebookTable[[#This Row],[assignment-weighted]:[final-weighted]])</f>
        <v>74.627272727272725</v>
      </c>
      <c r="Y54" s="3">
        <f>GradebookTable[[#This Row],[weighted-total]]-GradebookTable[[#This Row],[Average]]</f>
        <v>-0.37272727272727479</v>
      </c>
    </row>
    <row r="55" spans="1:25" x14ac:dyDescent="0.2">
      <c r="A55" s="1" t="s">
        <v>66</v>
      </c>
      <c r="B55" s="1">
        <v>12</v>
      </c>
      <c r="C55" s="1">
        <v>78</v>
      </c>
      <c r="D55" s="1">
        <v>71</v>
      </c>
      <c r="E55" s="1">
        <v>84</v>
      </c>
      <c r="F55" s="1">
        <v>90</v>
      </c>
      <c r="G55" s="1">
        <v>92</v>
      </c>
      <c r="H55" s="1">
        <v>90</v>
      </c>
      <c r="I55" s="1">
        <v>88</v>
      </c>
      <c r="J55" s="1">
        <v>43</v>
      </c>
      <c r="K55" s="1">
        <v>81</v>
      </c>
      <c r="L55" s="1">
        <v>97</v>
      </c>
      <c r="M55" s="1">
        <v>67</v>
      </c>
      <c r="N55" s="1">
        <v>63</v>
      </c>
      <c r="O55" s="1">
        <v>93</v>
      </c>
      <c r="P55" s="1">
        <v>76</v>
      </c>
      <c r="Q55" s="2">
        <f>AVERAGE(B55:P55)</f>
        <v>75</v>
      </c>
      <c r="R55" s="3">
        <f>MAX(GradebookTable[[#This Row],[Assignment1]:[final]])</f>
        <v>97</v>
      </c>
      <c r="S55" s="3">
        <f>MIN(GradebookTable[[#This Row],[Assignment1]:[final]])</f>
        <v>12</v>
      </c>
      <c r="T55" s="3" cm="1">
        <f t="array" ref="T55">AVERAGE(GradebookTable[[#This Row],[Assignment1]:[Assignment11]]*0.3)</f>
        <v>22.527272727272727</v>
      </c>
      <c r="U55" s="3" cm="1">
        <f t="array" ref="U55">AVERAGE(GradebookTable[[#This Row],[paper1]:[paper2]]*0.2)</f>
        <v>13</v>
      </c>
      <c r="V55" s="3">
        <f>GradebookTable[[#This Row],[midterm]]*0.2</f>
        <v>18.600000000000001</v>
      </c>
      <c r="W55" s="3">
        <f>GradebookTable[[#This Row],[final]]*0.3</f>
        <v>22.8</v>
      </c>
      <c r="X55" s="3">
        <f>SUM(GradebookTable[[#This Row],[assignment-weighted]:[final-weighted]])</f>
        <v>76.927272727272737</v>
      </c>
      <c r="Y55" s="3">
        <f>GradebookTable[[#This Row],[weighted-total]]-GradebookTable[[#This Row],[Average]]</f>
        <v>1.9272727272727366</v>
      </c>
    </row>
    <row r="56" spans="1:25" x14ac:dyDescent="0.2">
      <c r="A56" s="1" t="s">
        <v>67</v>
      </c>
      <c r="B56" s="1">
        <v>90</v>
      </c>
      <c r="C56" s="1">
        <v>3</v>
      </c>
      <c r="D56" s="1">
        <v>96</v>
      </c>
      <c r="E56" s="1">
        <v>62</v>
      </c>
      <c r="F56" s="1">
        <v>70</v>
      </c>
      <c r="G56" s="1">
        <v>89</v>
      </c>
      <c r="H56" s="1">
        <v>74</v>
      </c>
      <c r="I56" s="1">
        <v>69</v>
      </c>
      <c r="J56" s="1">
        <v>97</v>
      </c>
      <c r="K56" s="1">
        <v>73</v>
      </c>
      <c r="L56" s="1">
        <v>88</v>
      </c>
      <c r="M56" s="1">
        <v>64</v>
      </c>
      <c r="N56" s="1">
        <v>78</v>
      </c>
      <c r="O56" s="1">
        <v>99</v>
      </c>
      <c r="P56" s="1">
        <v>73</v>
      </c>
      <c r="Q56" s="2">
        <f>AVERAGE(B56:P56)</f>
        <v>75</v>
      </c>
      <c r="R56" s="3">
        <f>MAX(GradebookTable[[#This Row],[Assignment1]:[final]])</f>
        <v>99</v>
      </c>
      <c r="S56" s="3">
        <f>MIN(GradebookTable[[#This Row],[Assignment1]:[final]])</f>
        <v>3</v>
      </c>
      <c r="T56" s="3" cm="1">
        <f t="array" ref="T56">AVERAGE(GradebookTable[[#This Row],[Assignment1]:[Assignment11]]*0.3)</f>
        <v>22.118181818181817</v>
      </c>
      <c r="U56" s="3" cm="1">
        <f t="array" ref="U56">AVERAGE(GradebookTable[[#This Row],[paper1]:[paper2]]*0.2)</f>
        <v>14.200000000000001</v>
      </c>
      <c r="V56" s="3">
        <f>GradebookTable[[#This Row],[midterm]]*0.2</f>
        <v>19.8</v>
      </c>
      <c r="W56" s="3">
        <f>GradebookTable[[#This Row],[final]]*0.3</f>
        <v>21.9</v>
      </c>
      <c r="X56" s="3">
        <f>SUM(GradebookTable[[#This Row],[assignment-weighted]:[final-weighted]])</f>
        <v>78.01818181818183</v>
      </c>
      <c r="Y56" s="3">
        <f>GradebookTable[[#This Row],[weighted-total]]-GradebookTable[[#This Row],[Average]]</f>
        <v>3.0181818181818301</v>
      </c>
    </row>
    <row r="57" spans="1:25" x14ac:dyDescent="0.2">
      <c r="A57" s="1" t="s">
        <v>68</v>
      </c>
      <c r="B57" s="1">
        <v>70</v>
      </c>
      <c r="C57" s="1">
        <v>29</v>
      </c>
      <c r="D57" s="1">
        <v>79</v>
      </c>
      <c r="E57" s="1">
        <v>64</v>
      </c>
      <c r="F57" s="1">
        <v>91</v>
      </c>
      <c r="G57" s="1">
        <v>82</v>
      </c>
      <c r="H57" s="1">
        <v>8</v>
      </c>
      <c r="I57" s="1">
        <v>93</v>
      </c>
      <c r="J57" s="1">
        <v>94</v>
      </c>
      <c r="K57" s="1">
        <v>98</v>
      </c>
      <c r="L57" s="1">
        <v>98</v>
      </c>
      <c r="M57" s="1">
        <v>93</v>
      </c>
      <c r="N57" s="1">
        <v>79</v>
      </c>
      <c r="O57" s="1">
        <v>71</v>
      </c>
      <c r="P57" s="1">
        <v>76</v>
      </c>
      <c r="Q57" s="2">
        <f>AVERAGE(B57:P57)</f>
        <v>75</v>
      </c>
      <c r="R57" s="3">
        <f>MAX(GradebookTable[[#This Row],[Assignment1]:[final]])</f>
        <v>98</v>
      </c>
      <c r="S57" s="3">
        <f>MIN(GradebookTable[[#This Row],[Assignment1]:[final]])</f>
        <v>8</v>
      </c>
      <c r="T57" s="3" cm="1">
        <f t="array" ref="T57">AVERAGE(GradebookTable[[#This Row],[Assignment1]:[Assignment11]]*0.3)</f>
        <v>21.981818181818181</v>
      </c>
      <c r="U57" s="3" cm="1">
        <f t="array" ref="U57">AVERAGE(GradebookTable[[#This Row],[paper1]:[paper2]]*0.2)</f>
        <v>17.200000000000003</v>
      </c>
      <c r="V57" s="3">
        <f>GradebookTable[[#This Row],[midterm]]*0.2</f>
        <v>14.200000000000001</v>
      </c>
      <c r="W57" s="3">
        <f>GradebookTable[[#This Row],[final]]*0.3</f>
        <v>22.8</v>
      </c>
      <c r="X57" s="3">
        <f>SUM(GradebookTable[[#This Row],[assignment-weighted]:[final-weighted]])</f>
        <v>76.181818181818187</v>
      </c>
      <c r="Y57" s="3">
        <f>GradebookTable[[#This Row],[weighted-total]]-GradebookTable[[#This Row],[Average]]</f>
        <v>1.181818181818187</v>
      </c>
    </row>
    <row r="58" spans="1:25" x14ac:dyDescent="0.2">
      <c r="A58" s="1" t="s">
        <v>69</v>
      </c>
      <c r="B58" s="1">
        <v>85</v>
      </c>
      <c r="C58" s="1">
        <v>45</v>
      </c>
      <c r="D58" s="1">
        <v>95</v>
      </c>
      <c r="E58" s="1">
        <v>94</v>
      </c>
      <c r="F58" s="1">
        <v>55</v>
      </c>
      <c r="G58" s="1">
        <v>98</v>
      </c>
      <c r="H58" s="1">
        <v>87</v>
      </c>
      <c r="I58" s="1">
        <v>97</v>
      </c>
      <c r="J58" s="1">
        <v>44</v>
      </c>
      <c r="K58" s="1">
        <v>82</v>
      </c>
      <c r="L58" s="1">
        <v>80</v>
      </c>
      <c r="M58" s="1">
        <v>80</v>
      </c>
      <c r="N58" s="1">
        <v>23</v>
      </c>
      <c r="O58" s="1">
        <v>76</v>
      </c>
      <c r="P58" s="1">
        <v>84</v>
      </c>
      <c r="Q58" s="2">
        <f>AVERAGE(B58:P58)</f>
        <v>75</v>
      </c>
      <c r="R58" s="3">
        <f>MAX(GradebookTable[[#This Row],[Assignment1]:[final]])</f>
        <v>98</v>
      </c>
      <c r="S58" s="3">
        <f>MIN(GradebookTable[[#This Row],[Assignment1]:[final]])</f>
        <v>23</v>
      </c>
      <c r="T58" s="3" cm="1">
        <f t="array" ref="T58">AVERAGE(GradebookTable[[#This Row],[Assignment1]:[Assignment11]]*0.3)</f>
        <v>23.509090909090904</v>
      </c>
      <c r="U58" s="3" cm="1">
        <f t="array" ref="U58">AVERAGE(GradebookTable[[#This Row],[paper1]:[paper2]]*0.2)</f>
        <v>10.3</v>
      </c>
      <c r="V58" s="3">
        <f>GradebookTable[[#This Row],[midterm]]*0.2</f>
        <v>15.200000000000001</v>
      </c>
      <c r="W58" s="3">
        <f>GradebookTable[[#This Row],[final]]*0.3</f>
        <v>25.2</v>
      </c>
      <c r="X58" s="3">
        <f>SUM(GradebookTable[[#This Row],[assignment-weighted]:[final-weighted]])</f>
        <v>74.209090909090904</v>
      </c>
      <c r="Y58" s="3">
        <f>GradebookTable[[#This Row],[weighted-total]]-GradebookTable[[#This Row],[Average]]</f>
        <v>-0.79090909090909634</v>
      </c>
    </row>
    <row r="59" spans="1:25" x14ac:dyDescent="0.2">
      <c r="A59" s="1" t="s">
        <v>70</v>
      </c>
      <c r="B59" s="1">
        <v>85</v>
      </c>
      <c r="C59" s="1">
        <v>40</v>
      </c>
      <c r="D59" s="1">
        <v>79</v>
      </c>
      <c r="E59" s="1">
        <v>98</v>
      </c>
      <c r="F59" s="1">
        <v>51</v>
      </c>
      <c r="G59" s="1">
        <v>2</v>
      </c>
      <c r="H59" s="1">
        <v>76</v>
      </c>
      <c r="I59" s="1">
        <v>75</v>
      </c>
      <c r="J59" s="1">
        <v>95</v>
      </c>
      <c r="K59" s="1">
        <v>87</v>
      </c>
      <c r="L59" s="1">
        <v>72</v>
      </c>
      <c r="M59" s="1">
        <v>96</v>
      </c>
      <c r="N59" s="1">
        <v>96</v>
      </c>
      <c r="O59" s="1">
        <v>92</v>
      </c>
      <c r="P59" s="1">
        <v>81</v>
      </c>
      <c r="Q59" s="2">
        <f>AVERAGE(B59:P59)</f>
        <v>75</v>
      </c>
      <c r="R59" s="3">
        <f>MAX(GradebookTable[[#This Row],[Assignment1]:[final]])</f>
        <v>98</v>
      </c>
      <c r="S59" s="3">
        <f>MIN(GradebookTable[[#This Row],[Assignment1]:[final]])</f>
        <v>2</v>
      </c>
      <c r="T59" s="3" cm="1">
        <f t="array" ref="T59">AVERAGE(GradebookTable[[#This Row],[Assignment1]:[Assignment11]]*0.3)</f>
        <v>20.727272727272723</v>
      </c>
      <c r="U59" s="3" cm="1">
        <f t="array" ref="U59">AVERAGE(GradebookTable[[#This Row],[paper1]:[paper2]]*0.2)</f>
        <v>19.200000000000003</v>
      </c>
      <c r="V59" s="3">
        <f>GradebookTable[[#This Row],[midterm]]*0.2</f>
        <v>18.400000000000002</v>
      </c>
      <c r="W59" s="3">
        <f>GradebookTable[[#This Row],[final]]*0.3</f>
        <v>24.3</v>
      </c>
      <c r="X59" s="3">
        <f>SUM(GradebookTable[[#This Row],[assignment-weighted]:[final-weighted]])</f>
        <v>82.627272727272725</v>
      </c>
      <c r="Y59" s="3">
        <f>GradebookTable[[#This Row],[weighted-total]]-GradebookTable[[#This Row],[Average]]</f>
        <v>7.6272727272727252</v>
      </c>
    </row>
    <row r="60" spans="1:25" x14ac:dyDescent="0.2">
      <c r="A60" s="1" t="s">
        <v>71</v>
      </c>
      <c r="B60" s="1">
        <v>97</v>
      </c>
      <c r="C60" s="1">
        <v>44</v>
      </c>
      <c r="D60" s="1">
        <v>87</v>
      </c>
      <c r="E60" s="1">
        <v>79</v>
      </c>
      <c r="F60" s="1">
        <v>94</v>
      </c>
      <c r="G60" s="1">
        <v>87</v>
      </c>
      <c r="H60" s="1">
        <v>77</v>
      </c>
      <c r="I60" s="1">
        <v>23</v>
      </c>
      <c r="J60" s="1">
        <v>82</v>
      </c>
      <c r="K60" s="1">
        <v>68</v>
      </c>
      <c r="L60" s="1">
        <v>51</v>
      </c>
      <c r="M60" s="1">
        <v>81</v>
      </c>
      <c r="N60" s="1">
        <v>94</v>
      </c>
      <c r="O60" s="1">
        <v>84</v>
      </c>
      <c r="P60" s="1">
        <v>77</v>
      </c>
      <c r="Q60" s="2">
        <f>AVERAGE(B60:P60)</f>
        <v>75</v>
      </c>
      <c r="R60" s="3">
        <f>MAX(GradebookTable[[#This Row],[Assignment1]:[final]])</f>
        <v>97</v>
      </c>
      <c r="S60" s="3">
        <f>MIN(GradebookTable[[#This Row],[Assignment1]:[final]])</f>
        <v>23</v>
      </c>
      <c r="T60" s="3" cm="1">
        <f t="array" ref="T60">AVERAGE(GradebookTable[[#This Row],[Assignment1]:[Assignment11]]*0.3)</f>
        <v>21.518181818181819</v>
      </c>
      <c r="U60" s="3" cm="1">
        <f t="array" ref="U60">AVERAGE(GradebookTable[[#This Row],[paper1]:[paper2]]*0.2)</f>
        <v>17.5</v>
      </c>
      <c r="V60" s="3">
        <f>GradebookTable[[#This Row],[midterm]]*0.2</f>
        <v>16.8</v>
      </c>
      <c r="W60" s="3">
        <f>GradebookTable[[#This Row],[final]]*0.3</f>
        <v>23.099999999999998</v>
      </c>
      <c r="X60" s="3">
        <f>SUM(GradebookTable[[#This Row],[assignment-weighted]:[final-weighted]])</f>
        <v>78.918181818181807</v>
      </c>
      <c r="Y60" s="3">
        <f>GradebookTable[[#This Row],[weighted-total]]-GradebookTable[[#This Row],[Average]]</f>
        <v>3.9181818181818073</v>
      </c>
    </row>
    <row r="61" spans="1:25" x14ac:dyDescent="0.2">
      <c r="A61" s="1" t="s">
        <v>72</v>
      </c>
      <c r="B61" s="1">
        <v>61</v>
      </c>
      <c r="C61" s="1">
        <v>64</v>
      </c>
      <c r="D61" s="1">
        <v>78</v>
      </c>
      <c r="E61" s="1">
        <v>87</v>
      </c>
      <c r="F61" s="1">
        <v>91</v>
      </c>
      <c r="G61" s="1">
        <v>46</v>
      </c>
      <c r="H61" s="1">
        <v>93</v>
      </c>
      <c r="I61" s="1">
        <v>77</v>
      </c>
      <c r="J61" s="1">
        <v>65</v>
      </c>
      <c r="K61" s="1">
        <v>94</v>
      </c>
      <c r="L61" s="1">
        <v>95</v>
      </c>
      <c r="M61" s="1">
        <v>87</v>
      </c>
      <c r="N61" s="1">
        <v>48</v>
      </c>
      <c r="O61" s="1">
        <v>71</v>
      </c>
      <c r="P61" s="1">
        <v>68</v>
      </c>
      <c r="Q61" s="2">
        <f>AVERAGE(B61:P61)</f>
        <v>75</v>
      </c>
      <c r="R61" s="3">
        <f>MAX(GradebookTable[[#This Row],[Assignment1]:[final]])</f>
        <v>95</v>
      </c>
      <c r="S61" s="3">
        <f>MIN(GradebookTable[[#This Row],[Assignment1]:[final]])</f>
        <v>46</v>
      </c>
      <c r="T61" s="3" cm="1">
        <f t="array" ref="T61">AVERAGE(GradebookTable[[#This Row],[Assignment1]:[Assignment11]]*0.3)</f>
        <v>23.209090909090907</v>
      </c>
      <c r="U61" s="3" cm="1">
        <f t="array" ref="U61">AVERAGE(GradebookTable[[#This Row],[paper1]:[paper2]]*0.2)</f>
        <v>13.500000000000002</v>
      </c>
      <c r="V61" s="3">
        <f>GradebookTable[[#This Row],[midterm]]*0.2</f>
        <v>14.200000000000001</v>
      </c>
      <c r="W61" s="3">
        <f>GradebookTable[[#This Row],[final]]*0.3</f>
        <v>20.399999999999999</v>
      </c>
      <c r="X61" s="3">
        <f>SUM(GradebookTable[[#This Row],[assignment-weighted]:[final-weighted]])</f>
        <v>71.309090909090912</v>
      </c>
      <c r="Y61" s="3">
        <f>GradebookTable[[#This Row],[weighted-total]]-GradebookTable[[#This Row],[Average]]</f>
        <v>-3.6909090909090878</v>
      </c>
    </row>
    <row r="62" spans="1:25" x14ac:dyDescent="0.2">
      <c r="A62" s="1" t="s">
        <v>73</v>
      </c>
      <c r="B62" s="1">
        <v>71</v>
      </c>
      <c r="C62" s="1">
        <v>39</v>
      </c>
      <c r="D62" s="1">
        <v>81</v>
      </c>
      <c r="E62" s="1">
        <v>95</v>
      </c>
      <c r="F62" s="1">
        <v>93</v>
      </c>
      <c r="G62" s="1">
        <v>91</v>
      </c>
      <c r="H62" s="1">
        <v>97</v>
      </c>
      <c r="I62" s="1">
        <v>97</v>
      </c>
      <c r="J62" s="1">
        <v>61</v>
      </c>
      <c r="K62" s="1">
        <v>81</v>
      </c>
      <c r="L62" s="1">
        <v>56</v>
      </c>
      <c r="M62" s="1">
        <v>44</v>
      </c>
      <c r="N62" s="1">
        <v>60</v>
      </c>
      <c r="O62" s="1">
        <v>63</v>
      </c>
      <c r="P62" s="1">
        <v>96</v>
      </c>
      <c r="Q62" s="2">
        <f>AVERAGE(B62:P62)</f>
        <v>75</v>
      </c>
      <c r="R62" s="3">
        <f>MAX(GradebookTable[[#This Row],[Assignment1]:[final]])</f>
        <v>97</v>
      </c>
      <c r="S62" s="3">
        <f>MIN(GradebookTable[[#This Row],[Assignment1]:[final]])</f>
        <v>39</v>
      </c>
      <c r="T62" s="3" cm="1">
        <f t="array" ref="T62">AVERAGE(GradebookTable[[#This Row],[Assignment1]:[Assignment11]]*0.3)</f>
        <v>23.509090909090911</v>
      </c>
      <c r="U62" s="3" cm="1">
        <f t="array" ref="U62">AVERAGE(GradebookTable[[#This Row],[paper1]:[paper2]]*0.2)</f>
        <v>10.4</v>
      </c>
      <c r="V62" s="3">
        <f>GradebookTable[[#This Row],[midterm]]*0.2</f>
        <v>12.600000000000001</v>
      </c>
      <c r="W62" s="3">
        <f>GradebookTable[[#This Row],[final]]*0.3</f>
        <v>28.799999999999997</v>
      </c>
      <c r="X62" s="3">
        <f>SUM(GradebookTable[[#This Row],[assignment-weighted]:[final-weighted]])</f>
        <v>75.309090909090912</v>
      </c>
      <c r="Y62" s="3">
        <f>GradebookTable[[#This Row],[weighted-total]]-GradebookTable[[#This Row],[Average]]</f>
        <v>0.30909090909091219</v>
      </c>
    </row>
    <row r="63" spans="1:25" x14ac:dyDescent="0.2">
      <c r="A63" s="1" t="s">
        <v>74</v>
      </c>
      <c r="B63" s="1">
        <v>92</v>
      </c>
      <c r="C63" s="1">
        <v>68</v>
      </c>
      <c r="D63" s="1">
        <v>73</v>
      </c>
      <c r="E63" s="1">
        <v>88</v>
      </c>
      <c r="F63" s="1">
        <v>45</v>
      </c>
      <c r="G63" s="1">
        <v>88</v>
      </c>
      <c r="H63" s="1">
        <v>57</v>
      </c>
      <c r="I63" s="1">
        <v>88</v>
      </c>
      <c r="J63" s="1">
        <v>94</v>
      </c>
      <c r="K63" s="1">
        <v>77</v>
      </c>
      <c r="L63" s="1">
        <v>90</v>
      </c>
      <c r="M63" s="1">
        <v>67</v>
      </c>
      <c r="N63" s="1">
        <v>76</v>
      </c>
      <c r="O63" s="1">
        <v>80</v>
      </c>
      <c r="P63" s="1">
        <v>42</v>
      </c>
      <c r="Q63" s="2">
        <f>AVERAGE(B63:P63)</f>
        <v>75</v>
      </c>
      <c r="R63" s="3">
        <f>MAX(GradebookTable[[#This Row],[Assignment1]:[final]])</f>
        <v>94</v>
      </c>
      <c r="S63" s="3">
        <f>MIN(GradebookTable[[#This Row],[Assignment1]:[final]])</f>
        <v>42</v>
      </c>
      <c r="T63" s="3" cm="1">
        <f t="array" ref="T63">AVERAGE(GradebookTable[[#This Row],[Assignment1]:[Assignment11]]*0.3)</f>
        <v>23.454545454545453</v>
      </c>
      <c r="U63" s="3" cm="1">
        <f t="array" ref="U63">AVERAGE(GradebookTable[[#This Row],[paper1]:[paper2]]*0.2)</f>
        <v>14.3</v>
      </c>
      <c r="V63" s="3">
        <f>GradebookTable[[#This Row],[midterm]]*0.2</f>
        <v>16</v>
      </c>
      <c r="W63" s="3">
        <f>GradebookTable[[#This Row],[final]]*0.3</f>
        <v>12.6</v>
      </c>
      <c r="X63" s="3">
        <f>SUM(GradebookTable[[#This Row],[assignment-weighted]:[final-weighted]])</f>
        <v>66.354545454545445</v>
      </c>
      <c r="Y63" s="3">
        <f>GradebookTable[[#This Row],[weighted-total]]-GradebookTable[[#This Row],[Average]]</f>
        <v>-8.6454545454545553</v>
      </c>
    </row>
    <row r="64" spans="1:25" x14ac:dyDescent="0.2">
      <c r="A64" s="1" t="s">
        <v>75</v>
      </c>
      <c r="B64" s="1">
        <v>68</v>
      </c>
      <c r="C64" s="1">
        <v>80</v>
      </c>
      <c r="D64" s="1">
        <v>89</v>
      </c>
      <c r="E64" s="1">
        <v>97</v>
      </c>
      <c r="F64" s="1">
        <v>26</v>
      </c>
      <c r="G64" s="1">
        <v>80</v>
      </c>
      <c r="H64" s="1">
        <v>42</v>
      </c>
      <c r="I64" s="1">
        <v>87</v>
      </c>
      <c r="J64" s="1">
        <v>84</v>
      </c>
      <c r="K64" s="1">
        <v>97</v>
      </c>
      <c r="L64" s="1">
        <v>95</v>
      </c>
      <c r="M64" s="1">
        <v>14</v>
      </c>
      <c r="N64" s="1">
        <v>77</v>
      </c>
      <c r="O64" s="1">
        <v>91</v>
      </c>
      <c r="P64" s="1">
        <v>98</v>
      </c>
      <c r="Q64" s="2">
        <f>AVERAGE(B64:P64)</f>
        <v>75</v>
      </c>
      <c r="R64" s="3">
        <f>MAX(GradebookTable[[#This Row],[Assignment1]:[final]])</f>
        <v>98</v>
      </c>
      <c r="S64" s="3">
        <f>MIN(GradebookTable[[#This Row],[Assignment1]:[final]])</f>
        <v>14</v>
      </c>
      <c r="T64" s="3" cm="1">
        <f t="array" ref="T64">AVERAGE(GradebookTable[[#This Row],[Assignment1]:[Assignment11]]*0.3)</f>
        <v>23.045454545454543</v>
      </c>
      <c r="U64" s="3" cm="1">
        <f t="array" ref="U64">AVERAGE(GradebookTable[[#This Row],[paper1]:[paper2]]*0.2)</f>
        <v>9.1</v>
      </c>
      <c r="V64" s="3">
        <f>GradebookTable[[#This Row],[midterm]]*0.2</f>
        <v>18.2</v>
      </c>
      <c r="W64" s="3">
        <f>GradebookTable[[#This Row],[final]]*0.3</f>
        <v>29.4</v>
      </c>
      <c r="X64" s="3">
        <f>SUM(GradebookTable[[#This Row],[assignment-weighted]:[final-weighted]])</f>
        <v>79.74545454545455</v>
      </c>
      <c r="Y64" s="3">
        <f>GradebookTable[[#This Row],[weighted-total]]-GradebookTable[[#This Row],[Average]]</f>
        <v>4.7454545454545496</v>
      </c>
    </row>
    <row r="65" spans="1:25" x14ac:dyDescent="0.2">
      <c r="A65" s="1" t="s">
        <v>76</v>
      </c>
      <c r="B65" s="1">
        <v>87</v>
      </c>
      <c r="C65" s="1">
        <v>74</v>
      </c>
      <c r="D65" s="1">
        <v>97</v>
      </c>
      <c r="E65" s="1">
        <v>13</v>
      </c>
      <c r="F65" s="1">
        <v>60</v>
      </c>
      <c r="G65" s="1">
        <v>81</v>
      </c>
      <c r="H65" s="1">
        <v>67</v>
      </c>
      <c r="I65" s="1">
        <v>86</v>
      </c>
      <c r="J65" s="1">
        <v>94</v>
      </c>
      <c r="K65" s="1">
        <v>97</v>
      </c>
      <c r="L65" s="1">
        <v>63</v>
      </c>
      <c r="M65" s="1">
        <v>91</v>
      </c>
      <c r="N65" s="1">
        <v>73</v>
      </c>
      <c r="O65" s="1">
        <v>43</v>
      </c>
      <c r="P65" s="1">
        <v>99</v>
      </c>
      <c r="Q65" s="2">
        <f>AVERAGE(B65:P65)</f>
        <v>75</v>
      </c>
      <c r="R65" s="3">
        <f>MAX(GradebookTable[[#This Row],[Assignment1]:[final]])</f>
        <v>99</v>
      </c>
      <c r="S65" s="3">
        <f>MIN(GradebookTable[[#This Row],[Assignment1]:[final]])</f>
        <v>13</v>
      </c>
      <c r="T65" s="3" cm="1">
        <f t="array" ref="T65">AVERAGE(GradebookTable[[#This Row],[Assignment1]:[Assignment11]]*0.3)</f>
        <v>22.336363636363636</v>
      </c>
      <c r="U65" s="3" cm="1">
        <f t="array" ref="U65">AVERAGE(GradebookTable[[#This Row],[paper1]:[paper2]]*0.2)</f>
        <v>16.399999999999999</v>
      </c>
      <c r="V65" s="3">
        <f>GradebookTable[[#This Row],[midterm]]*0.2</f>
        <v>8.6</v>
      </c>
      <c r="W65" s="3">
        <f>GradebookTable[[#This Row],[final]]*0.3</f>
        <v>29.7</v>
      </c>
      <c r="X65" s="3">
        <f>SUM(GradebookTable[[#This Row],[assignment-weighted]:[final-weighted]])</f>
        <v>77.036363636363632</v>
      </c>
      <c r="Y65" s="3">
        <f>GradebookTable[[#This Row],[weighted-total]]-GradebookTable[[#This Row],[Average]]</f>
        <v>2.0363636363636317</v>
      </c>
    </row>
    <row r="66" spans="1:25" x14ac:dyDescent="0.2">
      <c r="A66" s="1" t="s">
        <v>77</v>
      </c>
      <c r="B66" s="1">
        <v>98</v>
      </c>
      <c r="C66" s="1">
        <v>17</v>
      </c>
      <c r="D66" s="1">
        <v>87</v>
      </c>
      <c r="E66" s="1">
        <v>84</v>
      </c>
      <c r="F66" s="1">
        <v>73</v>
      </c>
      <c r="G66" s="1">
        <v>80</v>
      </c>
      <c r="H66" s="1">
        <v>56</v>
      </c>
      <c r="I66" s="1">
        <v>97</v>
      </c>
      <c r="J66" s="1">
        <v>50</v>
      </c>
      <c r="K66" s="1">
        <v>61</v>
      </c>
      <c r="L66" s="1">
        <v>88</v>
      </c>
      <c r="M66" s="1">
        <v>88</v>
      </c>
      <c r="N66" s="1">
        <v>62</v>
      </c>
      <c r="O66" s="1">
        <v>85</v>
      </c>
      <c r="P66" s="1">
        <v>99</v>
      </c>
      <c r="Q66" s="2">
        <f>AVERAGE(B66:P66)</f>
        <v>75</v>
      </c>
      <c r="R66" s="3">
        <f>MAX(GradebookTable[[#This Row],[Assignment1]:[final]])</f>
        <v>99</v>
      </c>
      <c r="S66" s="3">
        <f>MIN(GradebookTable[[#This Row],[Assignment1]:[final]])</f>
        <v>17</v>
      </c>
      <c r="T66" s="3" cm="1">
        <f t="array" ref="T66">AVERAGE(GradebookTable[[#This Row],[Assignment1]:[Assignment11]]*0.3)</f>
        <v>21.572727272727274</v>
      </c>
      <c r="U66" s="3" cm="1">
        <f t="array" ref="U66">AVERAGE(GradebookTable[[#This Row],[paper1]:[paper2]]*0.2)</f>
        <v>15</v>
      </c>
      <c r="V66" s="3">
        <f>GradebookTable[[#This Row],[midterm]]*0.2</f>
        <v>17</v>
      </c>
      <c r="W66" s="3">
        <f>GradebookTable[[#This Row],[final]]*0.3</f>
        <v>29.7</v>
      </c>
      <c r="X66" s="3">
        <f>SUM(GradebookTable[[#This Row],[assignment-weighted]:[final-weighted]])</f>
        <v>83.27272727272728</v>
      </c>
      <c r="Y66" s="3">
        <f>GradebookTable[[#This Row],[weighted-total]]-GradebookTable[[#This Row],[Average]]</f>
        <v>8.2727272727272805</v>
      </c>
    </row>
    <row r="67" spans="1:25" x14ac:dyDescent="0.2">
      <c r="A67" s="1" t="s">
        <v>78</v>
      </c>
      <c r="B67" s="1">
        <v>74</v>
      </c>
      <c r="C67" s="1">
        <v>94</v>
      </c>
      <c r="D67" s="1">
        <v>82</v>
      </c>
      <c r="E67" s="1">
        <v>94</v>
      </c>
      <c r="F67" s="1">
        <v>88</v>
      </c>
      <c r="G67" s="1">
        <v>88</v>
      </c>
      <c r="H67" s="1">
        <v>45</v>
      </c>
      <c r="I67" s="1">
        <v>82</v>
      </c>
      <c r="J67" s="1">
        <v>24</v>
      </c>
      <c r="K67" s="1">
        <v>69</v>
      </c>
      <c r="L67" s="1">
        <v>76</v>
      </c>
      <c r="M67" s="1">
        <v>93</v>
      </c>
      <c r="N67" s="1">
        <v>79</v>
      </c>
      <c r="O67" s="1">
        <v>39</v>
      </c>
      <c r="P67" s="1">
        <v>98</v>
      </c>
      <c r="Q67" s="2">
        <f>AVERAGE(B67:P67)</f>
        <v>75</v>
      </c>
      <c r="R67" s="3">
        <f>MAX(GradebookTable[[#This Row],[Assignment1]:[final]])</f>
        <v>98</v>
      </c>
      <c r="S67" s="3">
        <f>MIN(GradebookTable[[#This Row],[Assignment1]:[final]])</f>
        <v>24</v>
      </c>
      <c r="T67" s="3" cm="1">
        <f t="array" ref="T67">AVERAGE(GradebookTable[[#This Row],[Assignment1]:[Assignment11]]*0.3)</f>
        <v>22.254545454545454</v>
      </c>
      <c r="U67" s="3" cm="1">
        <f t="array" ref="U67">AVERAGE(GradebookTable[[#This Row],[paper1]:[paper2]]*0.2)</f>
        <v>17.200000000000003</v>
      </c>
      <c r="V67" s="3">
        <f>GradebookTable[[#This Row],[midterm]]*0.2</f>
        <v>7.8000000000000007</v>
      </c>
      <c r="W67" s="3">
        <f>GradebookTable[[#This Row],[final]]*0.3</f>
        <v>29.4</v>
      </c>
      <c r="X67" s="3">
        <f>SUM(GradebookTable[[#This Row],[assignment-weighted]:[final-weighted]])</f>
        <v>76.654545454545456</v>
      </c>
      <c r="Y67" s="3">
        <f>GradebookTable[[#This Row],[weighted-total]]-GradebookTable[[#This Row],[Average]]</f>
        <v>1.6545454545454561</v>
      </c>
    </row>
    <row r="68" spans="1:25" x14ac:dyDescent="0.2">
      <c r="A68" s="1" t="s">
        <v>79</v>
      </c>
      <c r="B68" s="1">
        <v>95</v>
      </c>
      <c r="C68" s="1">
        <v>44</v>
      </c>
      <c r="D68" s="1">
        <v>98</v>
      </c>
      <c r="E68" s="1">
        <v>82</v>
      </c>
      <c r="F68" s="1">
        <v>76</v>
      </c>
      <c r="G68" s="1">
        <v>89</v>
      </c>
      <c r="H68" s="1">
        <v>36</v>
      </c>
      <c r="I68" s="1">
        <v>97</v>
      </c>
      <c r="J68" s="1">
        <v>63</v>
      </c>
      <c r="K68" s="1">
        <v>87</v>
      </c>
      <c r="L68" s="1">
        <v>77</v>
      </c>
      <c r="M68" s="1">
        <v>68</v>
      </c>
      <c r="N68" s="1">
        <v>79</v>
      </c>
      <c r="O68" s="1">
        <v>46</v>
      </c>
      <c r="P68" s="1">
        <v>88</v>
      </c>
      <c r="Q68" s="2">
        <f>AVERAGE(B68:P68)</f>
        <v>75</v>
      </c>
      <c r="R68" s="3">
        <f>MAX(GradebookTable[[#This Row],[Assignment1]:[final]])</f>
        <v>98</v>
      </c>
      <c r="S68" s="3">
        <f>MIN(GradebookTable[[#This Row],[Assignment1]:[final]])</f>
        <v>36</v>
      </c>
      <c r="T68" s="3" cm="1">
        <f t="array" ref="T68">AVERAGE(GradebookTable[[#This Row],[Assignment1]:[Assignment11]]*0.3)</f>
        <v>23.018181818181816</v>
      </c>
      <c r="U68" s="3" cm="1">
        <f t="array" ref="U68">AVERAGE(GradebookTable[[#This Row],[paper1]:[paper2]]*0.2)</f>
        <v>14.700000000000001</v>
      </c>
      <c r="V68" s="3">
        <f>GradebookTable[[#This Row],[midterm]]*0.2</f>
        <v>9.2000000000000011</v>
      </c>
      <c r="W68" s="3">
        <f>GradebookTable[[#This Row],[final]]*0.3</f>
        <v>26.4</v>
      </c>
      <c r="X68" s="3">
        <f>SUM(GradebookTable[[#This Row],[assignment-weighted]:[final-weighted]])</f>
        <v>73.318181818181813</v>
      </c>
      <c r="Y68" s="3">
        <f>GradebookTable[[#This Row],[weighted-total]]-GradebookTable[[#This Row],[Average]]</f>
        <v>-1.681818181818187</v>
      </c>
    </row>
    <row r="69" spans="1:25" x14ac:dyDescent="0.2">
      <c r="A69" s="1" t="s">
        <v>80</v>
      </c>
      <c r="B69" s="1">
        <v>81</v>
      </c>
      <c r="C69" s="1">
        <v>64</v>
      </c>
      <c r="D69" s="1">
        <v>69</v>
      </c>
      <c r="E69" s="1">
        <v>19</v>
      </c>
      <c r="F69" s="1">
        <v>98</v>
      </c>
      <c r="G69" s="1">
        <v>84</v>
      </c>
      <c r="H69" s="1">
        <v>75</v>
      </c>
      <c r="I69" s="1">
        <v>95</v>
      </c>
      <c r="J69" s="1">
        <v>90</v>
      </c>
      <c r="K69" s="1">
        <v>97</v>
      </c>
      <c r="L69" s="1">
        <v>71</v>
      </c>
      <c r="M69" s="1">
        <v>32</v>
      </c>
      <c r="N69" s="1">
        <v>85</v>
      </c>
      <c r="O69" s="1">
        <v>94</v>
      </c>
      <c r="P69" s="1">
        <v>71</v>
      </c>
      <c r="Q69" s="2">
        <f>AVERAGE(B69:P69)</f>
        <v>75</v>
      </c>
      <c r="R69" s="3">
        <f>MAX(GradebookTable[[#This Row],[Assignment1]:[final]])</f>
        <v>98</v>
      </c>
      <c r="S69" s="3">
        <f>MIN(GradebookTable[[#This Row],[Assignment1]:[final]])</f>
        <v>19</v>
      </c>
      <c r="T69" s="3" cm="1">
        <f t="array" ref="T69">AVERAGE(GradebookTable[[#This Row],[Assignment1]:[Assignment11]]*0.3)</f>
        <v>22.990909090909092</v>
      </c>
      <c r="U69" s="3" cm="1">
        <f t="array" ref="U69">AVERAGE(GradebookTable[[#This Row],[paper1]:[paper2]]*0.2)</f>
        <v>11.7</v>
      </c>
      <c r="V69" s="3">
        <f>GradebookTable[[#This Row],[midterm]]*0.2</f>
        <v>18.8</v>
      </c>
      <c r="W69" s="3">
        <f>GradebookTable[[#This Row],[final]]*0.3</f>
        <v>21.3</v>
      </c>
      <c r="X69" s="3">
        <f>SUM(GradebookTable[[#This Row],[assignment-weighted]:[final-weighted]])</f>
        <v>74.790909090909082</v>
      </c>
      <c r="Y69" s="3">
        <f>GradebookTable[[#This Row],[weighted-total]]-GradebookTable[[#This Row],[Average]]</f>
        <v>-0.20909090909091788</v>
      </c>
    </row>
    <row r="70" spans="1:25" x14ac:dyDescent="0.2">
      <c r="A70" s="1" t="s">
        <v>81</v>
      </c>
      <c r="B70" s="1">
        <v>71</v>
      </c>
      <c r="C70" s="1">
        <v>83</v>
      </c>
      <c r="D70" s="1">
        <v>80</v>
      </c>
      <c r="E70" s="1">
        <v>82</v>
      </c>
      <c r="F70" s="1">
        <v>71</v>
      </c>
      <c r="G70" s="1">
        <v>98</v>
      </c>
      <c r="H70" s="1">
        <v>39</v>
      </c>
      <c r="I70" s="1">
        <v>91</v>
      </c>
      <c r="J70" s="1">
        <v>71</v>
      </c>
      <c r="K70" s="1">
        <v>67</v>
      </c>
      <c r="L70" s="1">
        <v>90</v>
      </c>
      <c r="M70" s="1">
        <v>7</v>
      </c>
      <c r="N70" s="1">
        <v>82</v>
      </c>
      <c r="O70" s="1">
        <v>94</v>
      </c>
      <c r="P70" s="1">
        <v>99</v>
      </c>
      <c r="Q70" s="2">
        <f>AVERAGE(B70:P70)</f>
        <v>75</v>
      </c>
      <c r="R70" s="3">
        <f>MAX(GradebookTable[[#This Row],[Assignment1]:[final]])</f>
        <v>99</v>
      </c>
      <c r="S70" s="3">
        <f>MIN(GradebookTable[[#This Row],[Assignment1]:[final]])</f>
        <v>7</v>
      </c>
      <c r="T70" s="3" cm="1">
        <f t="array" ref="T70">AVERAGE(GradebookTable[[#This Row],[Assignment1]:[Assignment11]]*0.3)</f>
        <v>22.990909090909092</v>
      </c>
      <c r="U70" s="3" cm="1">
        <f t="array" ref="U70">AVERAGE(GradebookTable[[#This Row],[paper1]:[paper2]]*0.2)</f>
        <v>8.9</v>
      </c>
      <c r="V70" s="3">
        <f>GradebookTable[[#This Row],[midterm]]*0.2</f>
        <v>18.8</v>
      </c>
      <c r="W70" s="3">
        <f>GradebookTable[[#This Row],[final]]*0.3</f>
        <v>29.7</v>
      </c>
      <c r="X70" s="3">
        <f>SUM(GradebookTable[[#This Row],[assignment-weighted]:[final-weighted]])</f>
        <v>80.390909090909091</v>
      </c>
      <c r="Y70" s="3">
        <f>GradebookTable[[#This Row],[weighted-total]]-GradebookTable[[#This Row],[Average]]</f>
        <v>5.3909090909090907</v>
      </c>
    </row>
    <row r="71" spans="1:25" x14ac:dyDescent="0.2">
      <c r="A71" s="1" t="s">
        <v>82</v>
      </c>
      <c r="B71" s="1">
        <v>85</v>
      </c>
      <c r="C71" s="1">
        <v>86</v>
      </c>
      <c r="D71" s="1">
        <v>56</v>
      </c>
      <c r="E71" s="1">
        <v>30</v>
      </c>
      <c r="F71" s="1">
        <v>76</v>
      </c>
      <c r="G71" s="1">
        <v>88</v>
      </c>
      <c r="H71" s="1">
        <v>84</v>
      </c>
      <c r="I71" s="1">
        <v>74</v>
      </c>
      <c r="J71" s="1">
        <v>94</v>
      </c>
      <c r="K71" s="1">
        <v>71</v>
      </c>
      <c r="L71" s="1">
        <v>76</v>
      </c>
      <c r="M71" s="1">
        <v>64</v>
      </c>
      <c r="N71" s="1">
        <v>98</v>
      </c>
      <c r="O71" s="1">
        <v>50</v>
      </c>
      <c r="P71" s="1">
        <v>93</v>
      </c>
      <c r="Q71" s="2">
        <f>AVERAGE(B71:P71)</f>
        <v>75</v>
      </c>
      <c r="R71" s="3">
        <f>MAX(GradebookTable[[#This Row],[Assignment1]:[final]])</f>
        <v>98</v>
      </c>
      <c r="S71" s="3">
        <f>MIN(GradebookTable[[#This Row],[Assignment1]:[final]])</f>
        <v>30</v>
      </c>
      <c r="T71" s="3" cm="1">
        <f t="array" ref="T71">AVERAGE(GradebookTable[[#This Row],[Assignment1]:[Assignment11]]*0.3)</f>
        <v>22.36363636363636</v>
      </c>
      <c r="U71" s="3" cm="1">
        <f t="array" ref="U71">AVERAGE(GradebookTable[[#This Row],[paper1]:[paper2]]*0.2)</f>
        <v>16.200000000000003</v>
      </c>
      <c r="V71" s="3">
        <f>GradebookTable[[#This Row],[midterm]]*0.2</f>
        <v>10</v>
      </c>
      <c r="W71" s="3">
        <f>GradebookTable[[#This Row],[final]]*0.3</f>
        <v>27.9</v>
      </c>
      <c r="X71" s="3">
        <f>SUM(GradebookTable[[#This Row],[assignment-weighted]:[final-weighted]])</f>
        <v>76.463636363636368</v>
      </c>
      <c r="Y71" s="3">
        <f>GradebookTable[[#This Row],[weighted-total]]-GradebookTable[[#This Row],[Average]]</f>
        <v>1.4636363636363683</v>
      </c>
    </row>
    <row r="72" spans="1:25" x14ac:dyDescent="0.2">
      <c r="A72" s="1" t="s">
        <v>83</v>
      </c>
      <c r="B72" s="1">
        <v>81</v>
      </c>
      <c r="C72" s="1">
        <v>36</v>
      </c>
      <c r="D72" s="1">
        <v>93</v>
      </c>
      <c r="E72" s="1">
        <v>86</v>
      </c>
      <c r="F72" s="1">
        <v>45</v>
      </c>
      <c r="G72" s="1">
        <v>99</v>
      </c>
      <c r="H72" s="1">
        <v>95</v>
      </c>
      <c r="I72" s="1">
        <v>94</v>
      </c>
      <c r="J72" s="1">
        <v>32</v>
      </c>
      <c r="K72" s="1">
        <v>86</v>
      </c>
      <c r="L72" s="1">
        <v>30</v>
      </c>
      <c r="M72" s="1">
        <v>84</v>
      </c>
      <c r="N72" s="1">
        <v>95</v>
      </c>
      <c r="O72" s="1">
        <v>71</v>
      </c>
      <c r="P72" s="1">
        <v>98</v>
      </c>
      <c r="Q72" s="2">
        <f>AVERAGE(B72:P72)</f>
        <v>75</v>
      </c>
      <c r="R72" s="3">
        <f>MAX(GradebookTable[[#This Row],[Assignment1]:[final]])</f>
        <v>99</v>
      </c>
      <c r="S72" s="3">
        <f>MIN(GradebookTable[[#This Row],[Assignment1]:[final]])</f>
        <v>30</v>
      </c>
      <c r="T72" s="3" cm="1">
        <f t="array" ref="T72">AVERAGE(GradebookTable[[#This Row],[Assignment1]:[Assignment11]]*0.3)</f>
        <v>21.190909090909091</v>
      </c>
      <c r="U72" s="3" cm="1">
        <f t="array" ref="U72">AVERAGE(GradebookTable[[#This Row],[paper1]:[paper2]]*0.2)</f>
        <v>17.899999999999999</v>
      </c>
      <c r="V72" s="3">
        <f>GradebookTable[[#This Row],[midterm]]*0.2</f>
        <v>14.200000000000001</v>
      </c>
      <c r="W72" s="3">
        <f>GradebookTable[[#This Row],[final]]*0.3</f>
        <v>29.4</v>
      </c>
      <c r="X72" s="3">
        <f>SUM(GradebookTable[[#This Row],[assignment-weighted]:[final-weighted]])</f>
        <v>82.690909090909088</v>
      </c>
      <c r="Y72" s="3">
        <f>GradebookTable[[#This Row],[weighted-total]]-GradebookTable[[#This Row],[Average]]</f>
        <v>7.6909090909090878</v>
      </c>
    </row>
    <row r="73" spans="1:25" x14ac:dyDescent="0.2">
      <c r="A73" s="1" t="s">
        <v>84</v>
      </c>
      <c r="B73" s="1">
        <v>81</v>
      </c>
      <c r="C73" s="1">
        <v>72</v>
      </c>
      <c r="D73" s="1">
        <v>62</v>
      </c>
      <c r="E73" s="1">
        <v>71</v>
      </c>
      <c r="F73" s="1">
        <v>89</v>
      </c>
      <c r="G73" s="1">
        <v>50</v>
      </c>
      <c r="H73" s="1">
        <v>71</v>
      </c>
      <c r="I73" s="1">
        <v>63</v>
      </c>
      <c r="J73" s="1">
        <v>87</v>
      </c>
      <c r="K73" s="1">
        <v>83</v>
      </c>
      <c r="L73" s="1">
        <v>99</v>
      </c>
      <c r="M73" s="1">
        <v>94</v>
      </c>
      <c r="N73" s="1">
        <v>74</v>
      </c>
      <c r="O73" s="1">
        <v>65</v>
      </c>
      <c r="P73" s="1">
        <v>64</v>
      </c>
      <c r="Q73" s="2">
        <f>AVERAGE(B73:P73)</f>
        <v>75</v>
      </c>
      <c r="R73" s="3">
        <f>MAX(GradebookTable[[#This Row],[Assignment1]:[final]])</f>
        <v>99</v>
      </c>
      <c r="S73" s="3">
        <f>MIN(GradebookTable[[#This Row],[Assignment1]:[final]])</f>
        <v>50</v>
      </c>
      <c r="T73" s="3" cm="1">
        <f t="array" ref="T73">AVERAGE(GradebookTable[[#This Row],[Assignment1]:[Assignment11]]*0.3)</f>
        <v>22.581818181818182</v>
      </c>
      <c r="U73" s="3" cm="1">
        <f t="array" ref="U73">AVERAGE(GradebookTable[[#This Row],[paper1]:[paper2]]*0.2)</f>
        <v>16.8</v>
      </c>
      <c r="V73" s="3">
        <f>GradebookTable[[#This Row],[midterm]]*0.2</f>
        <v>13</v>
      </c>
      <c r="W73" s="3">
        <f>GradebookTable[[#This Row],[final]]*0.3</f>
        <v>19.2</v>
      </c>
      <c r="X73" s="3">
        <f>SUM(GradebookTable[[#This Row],[assignment-weighted]:[final-weighted]])</f>
        <v>71.581818181818178</v>
      </c>
      <c r="Y73" s="3">
        <f>GradebookTable[[#This Row],[weighted-total]]-GradebookTable[[#This Row],[Average]]</f>
        <v>-3.4181818181818215</v>
      </c>
    </row>
    <row r="74" spans="1:25" x14ac:dyDescent="0.2">
      <c r="A74" s="1" t="s">
        <v>85</v>
      </c>
      <c r="B74" s="1">
        <v>95</v>
      </c>
      <c r="C74" s="1">
        <v>49</v>
      </c>
      <c r="D74" s="1">
        <v>92</v>
      </c>
      <c r="E74" s="1">
        <v>98</v>
      </c>
      <c r="F74" s="1">
        <v>99</v>
      </c>
      <c r="G74" s="1">
        <v>80</v>
      </c>
      <c r="H74" s="1">
        <v>46</v>
      </c>
      <c r="I74" s="1">
        <v>99</v>
      </c>
      <c r="J74" s="1">
        <v>98</v>
      </c>
      <c r="K74" s="1">
        <v>82</v>
      </c>
      <c r="L74" s="1">
        <v>52</v>
      </c>
      <c r="M74" s="1">
        <v>50</v>
      </c>
      <c r="N74" s="1">
        <v>64</v>
      </c>
      <c r="O74" s="1">
        <v>45</v>
      </c>
      <c r="P74" s="1">
        <v>76</v>
      </c>
      <c r="Q74" s="2">
        <f>AVERAGE(B74:P74)</f>
        <v>75</v>
      </c>
      <c r="R74" s="3">
        <f>MAX(GradebookTable[[#This Row],[Assignment1]:[final]])</f>
        <v>99</v>
      </c>
      <c r="S74" s="3">
        <f>MIN(GradebookTable[[#This Row],[Assignment1]:[final]])</f>
        <v>45</v>
      </c>
      <c r="T74" s="3" cm="1">
        <f t="array" ref="T74">AVERAGE(GradebookTable[[#This Row],[Assignment1]:[Assignment11]]*0.3)</f>
        <v>24.272727272727273</v>
      </c>
      <c r="U74" s="3" cm="1">
        <f t="array" ref="U74">AVERAGE(GradebookTable[[#This Row],[paper1]:[paper2]]*0.2)</f>
        <v>11.4</v>
      </c>
      <c r="V74" s="3">
        <f>GradebookTable[[#This Row],[midterm]]*0.2</f>
        <v>9</v>
      </c>
      <c r="W74" s="3">
        <f>GradebookTable[[#This Row],[final]]*0.3</f>
        <v>22.8</v>
      </c>
      <c r="X74" s="3">
        <f>SUM(GradebookTable[[#This Row],[assignment-weighted]:[final-weighted]])</f>
        <v>67.472727272727269</v>
      </c>
      <c r="Y74" s="3">
        <f>GradebookTable[[#This Row],[weighted-total]]-GradebookTable[[#This Row],[Average]]</f>
        <v>-7.5272727272727309</v>
      </c>
    </row>
    <row r="75" spans="1:25" x14ac:dyDescent="0.2">
      <c r="A75" s="1" t="s">
        <v>86</v>
      </c>
      <c r="B75" s="1">
        <v>82</v>
      </c>
      <c r="C75" s="1">
        <v>87</v>
      </c>
      <c r="D75" s="1">
        <v>49</v>
      </c>
      <c r="E75" s="1">
        <v>80</v>
      </c>
      <c r="F75" s="1">
        <v>94</v>
      </c>
      <c r="G75" s="1">
        <v>86</v>
      </c>
      <c r="H75" s="1">
        <v>25</v>
      </c>
      <c r="I75" s="1">
        <v>96</v>
      </c>
      <c r="J75" s="1">
        <v>72</v>
      </c>
      <c r="K75" s="1">
        <v>73</v>
      </c>
      <c r="L75" s="1">
        <v>50</v>
      </c>
      <c r="M75" s="1">
        <v>89</v>
      </c>
      <c r="N75" s="1">
        <v>78</v>
      </c>
      <c r="O75" s="1">
        <v>80</v>
      </c>
      <c r="P75" s="1">
        <v>84</v>
      </c>
      <c r="Q75" s="2">
        <f>AVERAGE(B75:P75)</f>
        <v>75</v>
      </c>
      <c r="R75" s="3">
        <f>MAX(GradebookTable[[#This Row],[Assignment1]:[final]])</f>
        <v>96</v>
      </c>
      <c r="S75" s="3">
        <f>MIN(GradebookTable[[#This Row],[Assignment1]:[final]])</f>
        <v>25</v>
      </c>
      <c r="T75" s="3" cm="1">
        <f t="array" ref="T75">AVERAGE(GradebookTable[[#This Row],[Assignment1]:[Assignment11]]*0.3)</f>
        <v>21.654545454545453</v>
      </c>
      <c r="U75" s="3" cm="1">
        <f t="array" ref="U75">AVERAGE(GradebookTable[[#This Row],[paper1]:[paper2]]*0.2)</f>
        <v>16.700000000000003</v>
      </c>
      <c r="V75" s="3">
        <f>GradebookTable[[#This Row],[midterm]]*0.2</f>
        <v>16</v>
      </c>
      <c r="W75" s="3">
        <f>GradebookTable[[#This Row],[final]]*0.3</f>
        <v>25.2</v>
      </c>
      <c r="X75" s="3">
        <f>SUM(GradebookTable[[#This Row],[assignment-weighted]:[final-weighted]])</f>
        <v>79.554545454545462</v>
      </c>
      <c r="Y75" s="3">
        <f>GradebookTable[[#This Row],[weighted-total]]-GradebookTable[[#This Row],[Average]]</f>
        <v>4.5545454545454618</v>
      </c>
    </row>
    <row r="76" spans="1:25" x14ac:dyDescent="0.2">
      <c r="A76" s="1" t="s">
        <v>87</v>
      </c>
      <c r="B76" s="1">
        <v>48</v>
      </c>
      <c r="C76" s="1">
        <v>44</v>
      </c>
      <c r="D76" s="1">
        <v>93</v>
      </c>
      <c r="E76" s="1">
        <v>88</v>
      </c>
      <c r="F76" s="1">
        <v>85</v>
      </c>
      <c r="G76" s="1">
        <v>98</v>
      </c>
      <c r="H76" s="1">
        <v>71</v>
      </c>
      <c r="I76" s="1">
        <v>53</v>
      </c>
      <c r="J76" s="1">
        <v>95</v>
      </c>
      <c r="K76" s="1">
        <v>87</v>
      </c>
      <c r="L76" s="1">
        <v>88</v>
      </c>
      <c r="M76" s="1">
        <v>69</v>
      </c>
      <c r="N76" s="1">
        <v>85</v>
      </c>
      <c r="O76" s="1">
        <v>61</v>
      </c>
      <c r="P76" s="1">
        <v>60</v>
      </c>
      <c r="Q76" s="2">
        <f>AVERAGE(B76:P76)</f>
        <v>75</v>
      </c>
      <c r="R76" s="3">
        <f>MAX(GradebookTable[[#This Row],[Assignment1]:[final]])</f>
        <v>98</v>
      </c>
      <c r="S76" s="3">
        <f>MIN(GradebookTable[[#This Row],[Assignment1]:[final]])</f>
        <v>44</v>
      </c>
      <c r="T76" s="3" cm="1">
        <f t="array" ref="T76">AVERAGE(GradebookTable[[#This Row],[Assignment1]:[Assignment11]]*0.3)</f>
        <v>23.181818181818183</v>
      </c>
      <c r="U76" s="3" cm="1">
        <f t="array" ref="U76">AVERAGE(GradebookTable[[#This Row],[paper1]:[paper2]]*0.2)</f>
        <v>15.4</v>
      </c>
      <c r="V76" s="3">
        <f>GradebookTable[[#This Row],[midterm]]*0.2</f>
        <v>12.200000000000001</v>
      </c>
      <c r="W76" s="3">
        <f>GradebookTable[[#This Row],[final]]*0.3</f>
        <v>18</v>
      </c>
      <c r="X76" s="3">
        <f>SUM(GradebookTable[[#This Row],[assignment-weighted]:[final-weighted]])</f>
        <v>68.781818181818181</v>
      </c>
      <c r="Y76" s="3">
        <f>GradebookTable[[#This Row],[weighted-total]]-GradebookTable[[#This Row],[Average]]</f>
        <v>-6.2181818181818187</v>
      </c>
    </row>
    <row r="77" spans="1:25" x14ac:dyDescent="0.2">
      <c r="A77" s="1" t="s">
        <v>88</v>
      </c>
      <c r="B77" s="1">
        <v>89</v>
      </c>
      <c r="C77" s="1">
        <v>99</v>
      </c>
      <c r="D77" s="1">
        <v>75</v>
      </c>
      <c r="E77" s="1">
        <v>97</v>
      </c>
      <c r="F77" s="1">
        <v>91</v>
      </c>
      <c r="G77" s="1">
        <v>50</v>
      </c>
      <c r="H77" s="1">
        <v>33</v>
      </c>
      <c r="I77" s="1">
        <v>78</v>
      </c>
      <c r="J77" s="1">
        <v>69</v>
      </c>
      <c r="K77" s="1">
        <v>81</v>
      </c>
      <c r="L77" s="1">
        <v>65</v>
      </c>
      <c r="M77" s="1">
        <v>96</v>
      </c>
      <c r="N77" s="1">
        <v>64</v>
      </c>
      <c r="O77" s="1">
        <v>62</v>
      </c>
      <c r="P77" s="1">
        <v>76</v>
      </c>
      <c r="Q77" s="2">
        <f>AVERAGE(B77:P77)</f>
        <v>75</v>
      </c>
      <c r="R77" s="3">
        <f>MAX(GradebookTable[[#This Row],[Assignment1]:[final]])</f>
        <v>99</v>
      </c>
      <c r="S77" s="3">
        <f>MIN(GradebookTable[[#This Row],[Assignment1]:[final]])</f>
        <v>33</v>
      </c>
      <c r="T77" s="3" cm="1">
        <f t="array" ref="T77">AVERAGE(GradebookTable[[#This Row],[Assignment1]:[Assignment11]]*0.3)</f>
        <v>22.554545454545458</v>
      </c>
      <c r="U77" s="3" cm="1">
        <f t="array" ref="U77">AVERAGE(GradebookTable[[#This Row],[paper1]:[paper2]]*0.2)</f>
        <v>16</v>
      </c>
      <c r="V77" s="3">
        <f>GradebookTable[[#This Row],[midterm]]*0.2</f>
        <v>12.4</v>
      </c>
      <c r="W77" s="3">
        <f>GradebookTable[[#This Row],[final]]*0.3</f>
        <v>22.8</v>
      </c>
      <c r="X77" s="3">
        <f>SUM(GradebookTable[[#This Row],[assignment-weighted]:[final-weighted]])</f>
        <v>73.754545454545465</v>
      </c>
      <c r="Y77" s="3">
        <f>GradebookTable[[#This Row],[weighted-total]]-GradebookTable[[#This Row],[Average]]</f>
        <v>-1.2454545454545354</v>
      </c>
    </row>
    <row r="78" spans="1:25" x14ac:dyDescent="0.2">
      <c r="A78" s="1" t="s">
        <v>89</v>
      </c>
      <c r="B78" s="1">
        <v>30</v>
      </c>
      <c r="C78" s="1">
        <v>61</v>
      </c>
      <c r="D78" s="1">
        <v>73</v>
      </c>
      <c r="E78" s="1">
        <v>21</v>
      </c>
      <c r="F78" s="1">
        <v>82</v>
      </c>
      <c r="G78" s="1">
        <v>92</v>
      </c>
      <c r="H78" s="1">
        <v>70</v>
      </c>
      <c r="I78" s="1">
        <v>84</v>
      </c>
      <c r="J78" s="1">
        <v>97</v>
      </c>
      <c r="K78" s="1">
        <v>62</v>
      </c>
      <c r="L78" s="1">
        <v>92</v>
      </c>
      <c r="M78" s="1">
        <v>90</v>
      </c>
      <c r="N78" s="1">
        <v>93</v>
      </c>
      <c r="O78" s="1">
        <v>87</v>
      </c>
      <c r="P78" s="1">
        <v>91</v>
      </c>
      <c r="Q78" s="2">
        <f>AVERAGE(B78:P78)</f>
        <v>75</v>
      </c>
      <c r="R78" s="3">
        <f>MAX(GradebookTable[[#This Row],[Assignment1]:[final]])</f>
        <v>97</v>
      </c>
      <c r="S78" s="3">
        <f>MIN(GradebookTable[[#This Row],[Assignment1]:[final]])</f>
        <v>21</v>
      </c>
      <c r="T78" s="3" cm="1">
        <f t="array" ref="T78">AVERAGE(GradebookTable[[#This Row],[Assignment1]:[Assignment11]]*0.3)</f>
        <v>20.836363636363632</v>
      </c>
      <c r="U78" s="3" cm="1">
        <f t="array" ref="U78">AVERAGE(GradebookTable[[#This Row],[paper1]:[paper2]]*0.2)</f>
        <v>18.3</v>
      </c>
      <c r="V78" s="3">
        <f>GradebookTable[[#This Row],[midterm]]*0.2</f>
        <v>17.400000000000002</v>
      </c>
      <c r="W78" s="3">
        <f>GradebookTable[[#This Row],[final]]*0.3</f>
        <v>27.3</v>
      </c>
      <c r="X78" s="3">
        <f>SUM(GradebookTable[[#This Row],[assignment-weighted]:[final-weighted]])</f>
        <v>83.836363636363629</v>
      </c>
      <c r="Y78" s="3">
        <f>GradebookTable[[#This Row],[weighted-total]]-GradebookTable[[#This Row],[Average]]</f>
        <v>8.8363636363636289</v>
      </c>
    </row>
    <row r="79" spans="1:25" x14ac:dyDescent="0.2">
      <c r="A79" s="1" t="s">
        <v>90</v>
      </c>
      <c r="B79" s="1">
        <v>76</v>
      </c>
      <c r="C79" s="1">
        <v>87</v>
      </c>
      <c r="D79" s="1">
        <v>36</v>
      </c>
      <c r="E79" s="1">
        <v>14</v>
      </c>
      <c r="F79" s="1">
        <v>42</v>
      </c>
      <c r="G79" s="1">
        <v>74</v>
      </c>
      <c r="H79" s="1">
        <v>81</v>
      </c>
      <c r="I79" s="1">
        <v>80</v>
      </c>
      <c r="J79" s="1">
        <v>92</v>
      </c>
      <c r="K79" s="1">
        <v>92</v>
      </c>
      <c r="L79" s="1">
        <v>99</v>
      </c>
      <c r="M79" s="1">
        <v>89</v>
      </c>
      <c r="N79" s="1">
        <v>89</v>
      </c>
      <c r="O79" s="1">
        <v>76</v>
      </c>
      <c r="P79" s="1">
        <v>98</v>
      </c>
      <c r="Q79" s="2">
        <f>AVERAGE(B79:P79)</f>
        <v>75</v>
      </c>
      <c r="R79" s="3">
        <f>MAX(GradebookTable[[#This Row],[Assignment1]:[final]])</f>
        <v>99</v>
      </c>
      <c r="S79" s="3">
        <f>MIN(GradebookTable[[#This Row],[Assignment1]:[final]])</f>
        <v>14</v>
      </c>
      <c r="T79" s="3" cm="1">
        <f t="array" ref="T79">AVERAGE(GradebookTable[[#This Row],[Assignment1]:[Assignment11]]*0.3)</f>
        <v>21.081818181818178</v>
      </c>
      <c r="U79" s="3" cm="1">
        <f t="array" ref="U79">AVERAGE(GradebookTable[[#This Row],[paper1]:[paper2]]*0.2)</f>
        <v>17.8</v>
      </c>
      <c r="V79" s="3">
        <f>GradebookTable[[#This Row],[midterm]]*0.2</f>
        <v>15.200000000000001</v>
      </c>
      <c r="W79" s="3">
        <f>GradebookTable[[#This Row],[final]]*0.3</f>
        <v>29.4</v>
      </c>
      <c r="X79" s="3">
        <f>SUM(GradebookTable[[#This Row],[assignment-weighted]:[final-weighted]])</f>
        <v>83.48181818181817</v>
      </c>
      <c r="Y79" s="3">
        <f>GradebookTable[[#This Row],[weighted-total]]-GradebookTable[[#This Row],[Average]]</f>
        <v>8.4818181818181699</v>
      </c>
    </row>
    <row r="80" spans="1:25" x14ac:dyDescent="0.2">
      <c r="A80" s="1" t="s">
        <v>91</v>
      </c>
      <c r="B80" s="1">
        <v>67</v>
      </c>
      <c r="C80" s="1">
        <v>85</v>
      </c>
      <c r="D80" s="1">
        <v>64</v>
      </c>
      <c r="E80" s="1">
        <v>10</v>
      </c>
      <c r="F80" s="1">
        <v>95</v>
      </c>
      <c r="G80" s="1">
        <v>98</v>
      </c>
      <c r="H80" s="1">
        <v>61</v>
      </c>
      <c r="I80" s="1">
        <v>83</v>
      </c>
      <c r="J80" s="1">
        <v>98</v>
      </c>
      <c r="K80" s="1">
        <v>80</v>
      </c>
      <c r="L80" s="1">
        <v>43</v>
      </c>
      <c r="M80" s="1">
        <v>79</v>
      </c>
      <c r="N80" s="1">
        <v>87</v>
      </c>
      <c r="O80" s="1">
        <v>77</v>
      </c>
      <c r="P80" s="1">
        <v>98</v>
      </c>
      <c r="Q80" s="2">
        <f>AVERAGE(B80:P80)</f>
        <v>75</v>
      </c>
      <c r="R80" s="3">
        <f>MAX(GradebookTable[[#This Row],[Assignment1]:[final]])</f>
        <v>98</v>
      </c>
      <c r="S80" s="3">
        <f>MIN(GradebookTable[[#This Row],[Assignment1]:[final]])</f>
        <v>10</v>
      </c>
      <c r="T80" s="3" cm="1">
        <f t="array" ref="T80">AVERAGE(GradebookTable[[#This Row],[Assignment1]:[Assignment11]]*0.3)</f>
        <v>21.381818181818183</v>
      </c>
      <c r="U80" s="3" cm="1">
        <f t="array" ref="U80">AVERAGE(GradebookTable[[#This Row],[paper1]:[paper2]]*0.2)</f>
        <v>16.600000000000001</v>
      </c>
      <c r="V80" s="3">
        <f>GradebookTable[[#This Row],[midterm]]*0.2</f>
        <v>15.4</v>
      </c>
      <c r="W80" s="3">
        <f>GradebookTable[[#This Row],[final]]*0.3</f>
        <v>29.4</v>
      </c>
      <c r="X80" s="3">
        <f>SUM(GradebookTable[[#This Row],[assignment-weighted]:[final-weighted]])</f>
        <v>82.781818181818181</v>
      </c>
      <c r="Y80" s="3">
        <f>GradebookTable[[#This Row],[weighted-total]]-GradebookTable[[#This Row],[Average]]</f>
        <v>7.7818181818181813</v>
      </c>
    </row>
    <row r="81" spans="1:25" x14ac:dyDescent="0.2">
      <c r="A81" s="1" t="s">
        <v>92</v>
      </c>
      <c r="B81" s="1">
        <v>91</v>
      </c>
      <c r="C81" s="1">
        <v>58</v>
      </c>
      <c r="D81" s="1">
        <v>15</v>
      </c>
      <c r="E81" s="1">
        <v>89</v>
      </c>
      <c r="F81" s="1">
        <v>79</v>
      </c>
      <c r="G81" s="1">
        <v>98</v>
      </c>
      <c r="H81" s="1">
        <v>85</v>
      </c>
      <c r="I81" s="1">
        <v>91</v>
      </c>
      <c r="J81" s="1">
        <v>98</v>
      </c>
      <c r="K81" s="1">
        <v>53</v>
      </c>
      <c r="L81" s="1">
        <v>57</v>
      </c>
      <c r="M81" s="1">
        <v>74</v>
      </c>
      <c r="N81" s="1">
        <v>48</v>
      </c>
      <c r="O81" s="1">
        <v>95</v>
      </c>
      <c r="P81" s="1">
        <v>94</v>
      </c>
      <c r="Q81" s="2">
        <f>AVERAGE(B81:P81)</f>
        <v>75</v>
      </c>
      <c r="R81" s="3">
        <f>MAX(GradebookTable[[#This Row],[Assignment1]:[final]])</f>
        <v>98</v>
      </c>
      <c r="S81" s="3">
        <f>MIN(GradebookTable[[#This Row],[Assignment1]:[final]])</f>
        <v>15</v>
      </c>
      <c r="T81" s="3" cm="1">
        <f t="array" ref="T81">AVERAGE(GradebookTable[[#This Row],[Assignment1]:[Assignment11]]*0.3)</f>
        <v>22.200000000000003</v>
      </c>
      <c r="U81" s="3" cm="1">
        <f t="array" ref="U81">AVERAGE(GradebookTable[[#This Row],[paper1]:[paper2]]*0.2)</f>
        <v>12.200000000000001</v>
      </c>
      <c r="V81" s="3">
        <f>GradebookTable[[#This Row],[midterm]]*0.2</f>
        <v>19</v>
      </c>
      <c r="W81" s="3">
        <f>GradebookTable[[#This Row],[final]]*0.3</f>
        <v>28.2</v>
      </c>
      <c r="X81" s="3">
        <f>SUM(GradebookTable[[#This Row],[assignment-weighted]:[final-weighted]])</f>
        <v>81.600000000000009</v>
      </c>
      <c r="Y81" s="3">
        <f>GradebookTable[[#This Row],[weighted-total]]-GradebookTable[[#This Row],[Average]]</f>
        <v>6.6000000000000085</v>
      </c>
    </row>
    <row r="82" spans="1:25" x14ac:dyDescent="0.2">
      <c r="A82" s="1" t="s">
        <v>93</v>
      </c>
      <c r="B82" s="1">
        <v>68</v>
      </c>
      <c r="C82" s="1">
        <v>91</v>
      </c>
      <c r="D82" s="1">
        <v>69</v>
      </c>
      <c r="E82" s="1">
        <v>85</v>
      </c>
      <c r="F82" s="1">
        <v>94</v>
      </c>
      <c r="G82" s="1">
        <v>52</v>
      </c>
      <c r="H82" s="1">
        <v>99</v>
      </c>
      <c r="I82" s="1">
        <v>46</v>
      </c>
      <c r="J82" s="1">
        <v>84</v>
      </c>
      <c r="K82" s="1">
        <v>80</v>
      </c>
      <c r="L82" s="1">
        <v>45</v>
      </c>
      <c r="M82" s="1">
        <v>54</v>
      </c>
      <c r="N82" s="1">
        <v>96</v>
      </c>
      <c r="O82" s="1">
        <v>89</v>
      </c>
      <c r="P82" s="1">
        <v>73</v>
      </c>
      <c r="Q82" s="2">
        <f>AVERAGE(B82:P82)</f>
        <v>75</v>
      </c>
      <c r="R82" s="3">
        <f>MAX(GradebookTable[[#This Row],[Assignment1]:[final]])</f>
        <v>99</v>
      </c>
      <c r="S82" s="3">
        <f>MIN(GradebookTable[[#This Row],[Assignment1]:[final]])</f>
        <v>45</v>
      </c>
      <c r="T82" s="3" cm="1">
        <f t="array" ref="T82">AVERAGE(GradebookTable[[#This Row],[Assignment1]:[Assignment11]]*0.3)</f>
        <v>22.172727272727272</v>
      </c>
      <c r="U82" s="3" cm="1">
        <f t="array" ref="U82">AVERAGE(GradebookTable[[#This Row],[paper1]:[paper2]]*0.2)</f>
        <v>15.000000000000002</v>
      </c>
      <c r="V82" s="3">
        <f>GradebookTable[[#This Row],[midterm]]*0.2</f>
        <v>17.8</v>
      </c>
      <c r="W82" s="3">
        <f>GradebookTable[[#This Row],[final]]*0.3</f>
        <v>21.9</v>
      </c>
      <c r="X82" s="3">
        <f>SUM(GradebookTable[[#This Row],[assignment-weighted]:[final-weighted]])</f>
        <v>76.872727272727275</v>
      </c>
      <c r="Y82" s="3">
        <f>GradebookTable[[#This Row],[weighted-total]]-GradebookTable[[#This Row],[Average]]</f>
        <v>1.8727272727272748</v>
      </c>
    </row>
    <row r="83" spans="1:25" x14ac:dyDescent="0.2">
      <c r="A83" s="1" t="s">
        <v>94</v>
      </c>
      <c r="B83" s="1">
        <v>83</v>
      </c>
      <c r="C83" s="1">
        <v>88</v>
      </c>
      <c r="D83" s="1">
        <v>87</v>
      </c>
      <c r="E83" s="1">
        <v>48</v>
      </c>
      <c r="F83" s="1">
        <v>86</v>
      </c>
      <c r="G83" s="1">
        <v>90</v>
      </c>
      <c r="H83" s="1">
        <v>64</v>
      </c>
      <c r="I83" s="1">
        <v>76</v>
      </c>
      <c r="J83" s="1">
        <v>18</v>
      </c>
      <c r="K83" s="1">
        <v>84</v>
      </c>
      <c r="L83" s="1">
        <v>96</v>
      </c>
      <c r="M83" s="1">
        <v>69</v>
      </c>
      <c r="N83" s="1">
        <v>66</v>
      </c>
      <c r="O83" s="1">
        <v>90</v>
      </c>
      <c r="P83" s="1">
        <v>80</v>
      </c>
      <c r="Q83" s="2">
        <f>AVERAGE(B83:P83)</f>
        <v>75</v>
      </c>
      <c r="R83" s="3">
        <f>MAX(GradebookTable[[#This Row],[Assignment1]:[final]])</f>
        <v>96</v>
      </c>
      <c r="S83" s="3">
        <f>MIN(GradebookTable[[#This Row],[Assignment1]:[final]])</f>
        <v>18</v>
      </c>
      <c r="T83" s="3" cm="1">
        <f t="array" ref="T83">AVERAGE(GradebookTable[[#This Row],[Assignment1]:[Assignment11]]*0.3)</f>
        <v>22.36363636363636</v>
      </c>
      <c r="U83" s="3" cm="1">
        <f t="array" ref="U83">AVERAGE(GradebookTable[[#This Row],[paper1]:[paper2]]*0.2)</f>
        <v>13.5</v>
      </c>
      <c r="V83" s="3">
        <f>GradebookTable[[#This Row],[midterm]]*0.2</f>
        <v>18</v>
      </c>
      <c r="W83" s="3">
        <f>GradebookTable[[#This Row],[final]]*0.3</f>
        <v>24</v>
      </c>
      <c r="X83" s="3">
        <f>SUM(GradebookTable[[#This Row],[assignment-weighted]:[final-weighted]])</f>
        <v>77.86363636363636</v>
      </c>
      <c r="Y83" s="3">
        <f>GradebookTable[[#This Row],[weighted-total]]-GradebookTable[[#This Row],[Average]]</f>
        <v>2.8636363636363598</v>
      </c>
    </row>
    <row r="84" spans="1:25" x14ac:dyDescent="0.2">
      <c r="A84" s="1" t="s">
        <v>95</v>
      </c>
      <c r="B84" s="1">
        <v>71</v>
      </c>
      <c r="C84" s="1">
        <v>64</v>
      </c>
      <c r="D84" s="1">
        <v>70</v>
      </c>
      <c r="E84" s="1">
        <v>22</v>
      </c>
      <c r="F84" s="1">
        <v>81</v>
      </c>
      <c r="G84" s="1">
        <v>98</v>
      </c>
      <c r="H84" s="1">
        <v>81</v>
      </c>
      <c r="I84" s="1">
        <v>92</v>
      </c>
      <c r="J84" s="1">
        <v>79</v>
      </c>
      <c r="K84" s="1">
        <v>96</v>
      </c>
      <c r="L84" s="1">
        <v>93</v>
      </c>
      <c r="M84" s="1">
        <v>98</v>
      </c>
      <c r="N84" s="1">
        <v>30</v>
      </c>
      <c r="O84" s="1">
        <v>71</v>
      </c>
      <c r="P84" s="1">
        <v>79</v>
      </c>
      <c r="Q84" s="2">
        <f>AVERAGE(B84:P84)</f>
        <v>75</v>
      </c>
      <c r="R84" s="3">
        <f>MAX(GradebookTable[[#This Row],[Assignment1]:[final]])</f>
        <v>98</v>
      </c>
      <c r="S84" s="3">
        <f>MIN(GradebookTable[[#This Row],[Assignment1]:[final]])</f>
        <v>22</v>
      </c>
      <c r="T84" s="3" cm="1">
        <f t="array" ref="T84">AVERAGE(GradebookTable[[#This Row],[Assignment1]:[Assignment11]]*0.3)</f>
        <v>23.099999999999998</v>
      </c>
      <c r="U84" s="3" cm="1">
        <f t="array" ref="U84">AVERAGE(GradebookTable[[#This Row],[paper1]:[paper2]]*0.2)</f>
        <v>12.8</v>
      </c>
      <c r="V84" s="3">
        <f>GradebookTable[[#This Row],[midterm]]*0.2</f>
        <v>14.200000000000001</v>
      </c>
      <c r="W84" s="3">
        <f>GradebookTable[[#This Row],[final]]*0.3</f>
        <v>23.7</v>
      </c>
      <c r="X84" s="3">
        <f>SUM(GradebookTable[[#This Row],[assignment-weighted]:[final-weighted]])</f>
        <v>73.8</v>
      </c>
      <c r="Y84" s="3">
        <f>GradebookTable[[#This Row],[weighted-total]]-GradebookTable[[#This Row],[Average]]</f>
        <v>-1.2000000000000028</v>
      </c>
    </row>
    <row r="85" spans="1:25" x14ac:dyDescent="0.2">
      <c r="A85" s="1" t="s">
        <v>96</v>
      </c>
      <c r="B85" s="1">
        <v>74</v>
      </c>
      <c r="C85" s="1">
        <v>94</v>
      </c>
      <c r="D85" s="1">
        <v>52</v>
      </c>
      <c r="E85" s="1">
        <v>79</v>
      </c>
      <c r="F85" s="1">
        <v>91</v>
      </c>
      <c r="G85" s="1">
        <v>81</v>
      </c>
      <c r="H85" s="1">
        <v>66</v>
      </c>
      <c r="I85" s="1">
        <v>73</v>
      </c>
      <c r="J85" s="1">
        <v>96</v>
      </c>
      <c r="K85" s="1">
        <v>75</v>
      </c>
      <c r="L85" s="1">
        <v>74</v>
      </c>
      <c r="M85" s="1">
        <v>91</v>
      </c>
      <c r="N85" s="1">
        <v>92</v>
      </c>
      <c r="O85" s="1">
        <v>80</v>
      </c>
      <c r="P85" s="1">
        <v>7</v>
      </c>
      <c r="Q85" s="2">
        <f>AVERAGE(B85:P85)</f>
        <v>75</v>
      </c>
      <c r="R85" s="3">
        <f>MAX(GradebookTable[[#This Row],[Assignment1]:[final]])</f>
        <v>96</v>
      </c>
      <c r="S85" s="3">
        <f>MIN(GradebookTable[[#This Row],[Assignment1]:[final]])</f>
        <v>7</v>
      </c>
      <c r="T85" s="3" cm="1">
        <f t="array" ref="T85">AVERAGE(GradebookTable[[#This Row],[Assignment1]:[Assignment11]]*0.3)</f>
        <v>23.318181818181817</v>
      </c>
      <c r="U85" s="3" cm="1">
        <f t="array" ref="U85">AVERAGE(GradebookTable[[#This Row],[paper1]:[paper2]]*0.2)</f>
        <v>18.3</v>
      </c>
      <c r="V85" s="3">
        <f>GradebookTable[[#This Row],[midterm]]*0.2</f>
        <v>16</v>
      </c>
      <c r="W85" s="3">
        <f>GradebookTable[[#This Row],[final]]*0.3</f>
        <v>2.1</v>
      </c>
      <c r="X85" s="3">
        <f>SUM(GradebookTable[[#This Row],[assignment-weighted]:[final-weighted]])</f>
        <v>59.718181818181819</v>
      </c>
      <c r="Y85" s="3">
        <f>GradebookTable[[#This Row],[weighted-total]]-GradebookTable[[#This Row],[Average]]</f>
        <v>-15.281818181818181</v>
      </c>
    </row>
    <row r="86" spans="1:25" x14ac:dyDescent="0.2">
      <c r="A86" s="1" t="s">
        <v>97</v>
      </c>
      <c r="B86" s="1">
        <v>47</v>
      </c>
      <c r="C86" s="1">
        <v>81</v>
      </c>
      <c r="D86" s="1">
        <v>94</v>
      </c>
      <c r="E86" s="1">
        <v>87</v>
      </c>
      <c r="F86" s="1">
        <v>58</v>
      </c>
      <c r="G86" s="1">
        <v>67</v>
      </c>
      <c r="H86" s="1">
        <v>41</v>
      </c>
      <c r="I86" s="1">
        <v>89</v>
      </c>
      <c r="J86" s="1">
        <v>83</v>
      </c>
      <c r="K86" s="1">
        <v>92</v>
      </c>
      <c r="L86" s="1">
        <v>75</v>
      </c>
      <c r="M86" s="1">
        <v>74</v>
      </c>
      <c r="N86" s="1">
        <v>67</v>
      </c>
      <c r="O86" s="1">
        <v>79</v>
      </c>
      <c r="P86" s="1">
        <v>91</v>
      </c>
      <c r="Q86" s="2">
        <f>AVERAGE(B86:P86)</f>
        <v>75</v>
      </c>
      <c r="R86" s="3">
        <f>MAX(GradebookTable[[#This Row],[Assignment1]:[final]])</f>
        <v>94</v>
      </c>
      <c r="S86" s="3">
        <f>MIN(GradebookTable[[#This Row],[Assignment1]:[final]])</f>
        <v>41</v>
      </c>
      <c r="T86" s="3" cm="1">
        <f t="array" ref="T86">AVERAGE(GradebookTable[[#This Row],[Assignment1]:[Assignment11]]*0.3)</f>
        <v>22.2</v>
      </c>
      <c r="U86" s="3" cm="1">
        <f t="array" ref="U86">AVERAGE(GradebookTable[[#This Row],[paper1]:[paper2]]*0.2)</f>
        <v>14.100000000000001</v>
      </c>
      <c r="V86" s="3">
        <f>GradebookTable[[#This Row],[midterm]]*0.2</f>
        <v>15.8</v>
      </c>
      <c r="W86" s="3">
        <f>GradebookTable[[#This Row],[final]]*0.3</f>
        <v>27.3</v>
      </c>
      <c r="X86" s="3">
        <f>SUM(GradebookTable[[#This Row],[assignment-weighted]:[final-weighted]])</f>
        <v>79.399999999999991</v>
      </c>
      <c r="Y86" s="3">
        <f>GradebookTable[[#This Row],[weighted-total]]-GradebookTable[[#This Row],[Average]]</f>
        <v>4.3999999999999915</v>
      </c>
    </row>
    <row r="87" spans="1:25" x14ac:dyDescent="0.2">
      <c r="A87" s="1" t="s">
        <v>98</v>
      </c>
      <c r="B87" s="1">
        <v>96</v>
      </c>
      <c r="C87" s="1">
        <v>96</v>
      </c>
      <c r="D87" s="1">
        <v>90</v>
      </c>
      <c r="E87" s="1">
        <v>35</v>
      </c>
      <c r="F87" s="1">
        <v>94</v>
      </c>
      <c r="G87" s="1">
        <v>82</v>
      </c>
      <c r="H87" s="1">
        <v>80</v>
      </c>
      <c r="I87" s="1">
        <v>87</v>
      </c>
      <c r="J87" s="1">
        <v>62</v>
      </c>
      <c r="K87" s="1">
        <v>58</v>
      </c>
      <c r="L87" s="1">
        <v>99</v>
      </c>
      <c r="M87" s="1">
        <v>34</v>
      </c>
      <c r="N87" s="1">
        <v>83</v>
      </c>
      <c r="O87" s="1">
        <v>61</v>
      </c>
      <c r="P87" s="1">
        <v>68</v>
      </c>
      <c r="Q87" s="2">
        <f>AVERAGE(B87:P87)</f>
        <v>75</v>
      </c>
      <c r="R87" s="3">
        <f>MAX(GradebookTable[[#This Row],[Assignment1]:[final]])</f>
        <v>99</v>
      </c>
      <c r="S87" s="3">
        <f>MIN(GradebookTable[[#This Row],[Assignment1]:[final]])</f>
        <v>34</v>
      </c>
      <c r="T87" s="3" cm="1">
        <f t="array" ref="T87">AVERAGE(GradebookTable[[#This Row],[Assignment1]:[Assignment11]]*0.3)</f>
        <v>23.972727272727273</v>
      </c>
      <c r="U87" s="3" cm="1">
        <f t="array" ref="U87">AVERAGE(GradebookTable[[#This Row],[paper1]:[paper2]]*0.2)</f>
        <v>11.700000000000001</v>
      </c>
      <c r="V87" s="3">
        <f>GradebookTable[[#This Row],[midterm]]*0.2</f>
        <v>12.200000000000001</v>
      </c>
      <c r="W87" s="3">
        <f>GradebookTable[[#This Row],[final]]*0.3</f>
        <v>20.399999999999999</v>
      </c>
      <c r="X87" s="3">
        <f>SUM(GradebookTable[[#This Row],[assignment-weighted]:[final-weighted]])</f>
        <v>68.27272727272728</v>
      </c>
      <c r="Y87" s="3">
        <f>GradebookTable[[#This Row],[weighted-total]]-GradebookTable[[#This Row],[Average]]</f>
        <v>-6.7272727272727195</v>
      </c>
    </row>
    <row r="88" spans="1:25" x14ac:dyDescent="0.2">
      <c r="A88" s="1" t="s">
        <v>99</v>
      </c>
      <c r="B88" s="1">
        <v>96</v>
      </c>
      <c r="C88" s="1">
        <v>97</v>
      </c>
      <c r="D88" s="1">
        <v>74</v>
      </c>
      <c r="E88" s="1">
        <v>80</v>
      </c>
      <c r="F88" s="1">
        <v>70</v>
      </c>
      <c r="G88" s="1">
        <v>86</v>
      </c>
      <c r="H88" s="1">
        <v>74</v>
      </c>
      <c r="I88" s="1">
        <v>93</v>
      </c>
      <c r="J88" s="1">
        <v>72</v>
      </c>
      <c r="K88" s="1">
        <v>57</v>
      </c>
      <c r="L88" s="1">
        <v>58</v>
      </c>
      <c r="M88" s="1">
        <v>85</v>
      </c>
      <c r="N88" s="1">
        <v>87</v>
      </c>
      <c r="O88" s="1">
        <v>96</v>
      </c>
      <c r="P88" s="1">
        <v>0</v>
      </c>
      <c r="Q88" s="2">
        <f>AVERAGE(B88:P88)</f>
        <v>75</v>
      </c>
      <c r="R88" s="3">
        <f>MAX(GradebookTable[[#This Row],[Assignment1]:[final]])</f>
        <v>97</v>
      </c>
      <c r="S88" s="3">
        <f>MIN(GradebookTable[[#This Row],[Assignment1]:[final]])</f>
        <v>0</v>
      </c>
      <c r="T88" s="3" cm="1">
        <f t="array" ref="T88">AVERAGE(GradebookTable[[#This Row],[Assignment1]:[Assignment11]]*0.3)</f>
        <v>23.372727272727271</v>
      </c>
      <c r="U88" s="3" cm="1">
        <f t="array" ref="U88">AVERAGE(GradebookTable[[#This Row],[paper1]:[paper2]]*0.2)</f>
        <v>17.200000000000003</v>
      </c>
      <c r="V88" s="3">
        <f>GradebookTable[[#This Row],[midterm]]*0.2</f>
        <v>19.200000000000003</v>
      </c>
      <c r="W88" s="3">
        <f>GradebookTable[[#This Row],[final]]*0.3</f>
        <v>0</v>
      </c>
      <c r="X88" s="3">
        <f>SUM(GradebookTable[[#This Row],[assignment-weighted]:[final-weighted]])</f>
        <v>59.77272727272728</v>
      </c>
      <c r="Y88" s="3">
        <f>GradebookTable[[#This Row],[weighted-total]]-GradebookTable[[#This Row],[Average]]</f>
        <v>-15.22727272727272</v>
      </c>
    </row>
    <row r="89" spans="1:25" x14ac:dyDescent="0.2">
      <c r="A89" s="1" t="s">
        <v>100</v>
      </c>
      <c r="B89" s="1">
        <v>41</v>
      </c>
      <c r="C89" s="1">
        <v>88</v>
      </c>
      <c r="D89" s="1">
        <v>68</v>
      </c>
      <c r="E89" s="1">
        <v>97</v>
      </c>
      <c r="F89" s="1">
        <v>67</v>
      </c>
      <c r="G89" s="1">
        <v>70</v>
      </c>
      <c r="H89" s="1">
        <v>86</v>
      </c>
      <c r="I89" s="1">
        <v>98</v>
      </c>
      <c r="J89" s="1">
        <v>85</v>
      </c>
      <c r="K89" s="1">
        <v>77</v>
      </c>
      <c r="L89" s="1">
        <v>84</v>
      </c>
      <c r="M89" s="1">
        <v>84</v>
      </c>
      <c r="N89" s="1">
        <v>83</v>
      </c>
      <c r="O89" s="1">
        <v>24</v>
      </c>
      <c r="P89" s="1">
        <v>73</v>
      </c>
      <c r="Q89" s="2">
        <f>AVERAGE(B89:P89)</f>
        <v>75</v>
      </c>
      <c r="R89" s="3">
        <f>MAX(GradebookTable[[#This Row],[Assignment1]:[final]])</f>
        <v>98</v>
      </c>
      <c r="S89" s="3">
        <f>MIN(GradebookTable[[#This Row],[Assignment1]:[final]])</f>
        <v>24</v>
      </c>
      <c r="T89" s="3" cm="1">
        <f t="array" ref="T89">AVERAGE(GradebookTable[[#This Row],[Assignment1]:[Assignment11]]*0.3)</f>
        <v>23.481818181818184</v>
      </c>
      <c r="U89" s="3" cm="1">
        <f t="array" ref="U89">AVERAGE(GradebookTable[[#This Row],[paper1]:[paper2]]*0.2)</f>
        <v>16.700000000000003</v>
      </c>
      <c r="V89" s="3">
        <f>GradebookTable[[#This Row],[midterm]]*0.2</f>
        <v>4.8000000000000007</v>
      </c>
      <c r="W89" s="3">
        <f>GradebookTable[[#This Row],[final]]*0.3</f>
        <v>21.9</v>
      </c>
      <c r="X89" s="3">
        <f>SUM(GradebookTable[[#This Row],[assignment-weighted]:[final-weighted]])</f>
        <v>66.881818181818176</v>
      </c>
      <c r="Y89" s="3">
        <f>GradebookTable[[#This Row],[weighted-total]]-GradebookTable[[#This Row],[Average]]</f>
        <v>-8.1181818181818244</v>
      </c>
    </row>
    <row r="90" spans="1:25" x14ac:dyDescent="0.2">
      <c r="A90" s="1" t="s">
        <v>101</v>
      </c>
      <c r="B90" s="1">
        <v>90</v>
      </c>
      <c r="C90" s="1">
        <v>96</v>
      </c>
      <c r="D90" s="1">
        <v>52</v>
      </c>
      <c r="E90" s="1">
        <v>80</v>
      </c>
      <c r="F90" s="1">
        <v>75</v>
      </c>
      <c r="G90" s="1">
        <v>76</v>
      </c>
      <c r="H90" s="1">
        <v>95</v>
      </c>
      <c r="I90" s="1">
        <v>94</v>
      </c>
      <c r="J90" s="1">
        <v>73</v>
      </c>
      <c r="K90" s="1">
        <v>65</v>
      </c>
      <c r="L90" s="1">
        <v>95</v>
      </c>
      <c r="M90" s="1">
        <v>72</v>
      </c>
      <c r="N90" s="1">
        <v>43</v>
      </c>
      <c r="O90" s="1">
        <v>58</v>
      </c>
      <c r="P90" s="1">
        <v>61</v>
      </c>
      <c r="Q90" s="2">
        <f>AVERAGE(B90:P90)</f>
        <v>75</v>
      </c>
      <c r="R90" s="3">
        <f>MAX(GradebookTable[[#This Row],[Assignment1]:[final]])</f>
        <v>96</v>
      </c>
      <c r="S90" s="3">
        <f>MIN(GradebookTable[[#This Row],[Assignment1]:[final]])</f>
        <v>43</v>
      </c>
      <c r="T90" s="3" cm="1">
        <f t="array" ref="T90">AVERAGE(GradebookTable[[#This Row],[Assignment1]:[Assignment11]]*0.3)</f>
        <v>24.299999999999997</v>
      </c>
      <c r="U90" s="3" cm="1">
        <f t="array" ref="U90">AVERAGE(GradebookTable[[#This Row],[paper1]:[paper2]]*0.2)</f>
        <v>11.5</v>
      </c>
      <c r="V90" s="3">
        <f>GradebookTable[[#This Row],[midterm]]*0.2</f>
        <v>11.600000000000001</v>
      </c>
      <c r="W90" s="3">
        <f>GradebookTable[[#This Row],[final]]*0.3</f>
        <v>18.3</v>
      </c>
      <c r="X90" s="3">
        <f>SUM(GradebookTable[[#This Row],[assignment-weighted]:[final-weighted]])</f>
        <v>65.7</v>
      </c>
      <c r="Y90" s="3">
        <f>GradebookTable[[#This Row],[weighted-total]]-GradebookTable[[#This Row],[Average]]</f>
        <v>-9.2999999999999972</v>
      </c>
    </row>
    <row r="91" spans="1:25" x14ac:dyDescent="0.2">
      <c r="A91" s="1" t="s">
        <v>102</v>
      </c>
      <c r="B91" s="1">
        <v>81</v>
      </c>
      <c r="C91" s="1">
        <v>86</v>
      </c>
      <c r="D91" s="1">
        <v>53</v>
      </c>
      <c r="E91" s="1">
        <v>87</v>
      </c>
      <c r="F91" s="1">
        <v>94</v>
      </c>
      <c r="G91" s="1">
        <v>3</v>
      </c>
      <c r="H91" s="1">
        <v>72</v>
      </c>
      <c r="I91" s="1">
        <v>82</v>
      </c>
      <c r="J91" s="1">
        <v>99</v>
      </c>
      <c r="K91" s="1">
        <v>95</v>
      </c>
      <c r="L91" s="1">
        <v>63</v>
      </c>
      <c r="M91" s="1">
        <v>71</v>
      </c>
      <c r="N91" s="1">
        <v>86</v>
      </c>
      <c r="O91" s="1">
        <v>58</v>
      </c>
      <c r="P91" s="1">
        <v>95</v>
      </c>
      <c r="Q91" s="2">
        <f>AVERAGE(B91:P91)</f>
        <v>75</v>
      </c>
      <c r="R91" s="3">
        <f>MAX(GradebookTable[[#This Row],[Assignment1]:[final]])</f>
        <v>99</v>
      </c>
      <c r="S91" s="3">
        <f>MIN(GradebookTable[[#This Row],[Assignment1]:[final]])</f>
        <v>3</v>
      </c>
      <c r="T91" s="3" cm="1">
        <f t="array" ref="T91">AVERAGE(GradebookTable[[#This Row],[Assignment1]:[Assignment11]]*0.3)</f>
        <v>22.227272727272727</v>
      </c>
      <c r="U91" s="3" cm="1">
        <f t="array" ref="U91">AVERAGE(GradebookTable[[#This Row],[paper1]:[paper2]]*0.2)</f>
        <v>15.7</v>
      </c>
      <c r="V91" s="3">
        <f>GradebookTable[[#This Row],[midterm]]*0.2</f>
        <v>11.600000000000001</v>
      </c>
      <c r="W91" s="3">
        <f>GradebookTable[[#This Row],[final]]*0.3</f>
        <v>28.5</v>
      </c>
      <c r="X91" s="3">
        <f>SUM(GradebookTable[[#This Row],[assignment-weighted]:[final-weighted]])</f>
        <v>78.027272727272731</v>
      </c>
      <c r="Y91" s="3">
        <f>GradebookTable[[#This Row],[weighted-total]]-GradebookTable[[#This Row],[Average]]</f>
        <v>3.0272727272727309</v>
      </c>
    </row>
    <row r="92" spans="1:25" x14ac:dyDescent="0.2">
      <c r="A92" s="1" t="s">
        <v>103</v>
      </c>
      <c r="B92" s="1">
        <v>52</v>
      </c>
      <c r="C92" s="1">
        <v>86</v>
      </c>
      <c r="D92" s="1">
        <v>97</v>
      </c>
      <c r="E92" s="1">
        <v>91</v>
      </c>
      <c r="F92" s="1">
        <v>92</v>
      </c>
      <c r="G92" s="1">
        <v>49</v>
      </c>
      <c r="H92" s="1">
        <v>81</v>
      </c>
      <c r="I92" s="1">
        <v>55</v>
      </c>
      <c r="J92" s="1">
        <v>90</v>
      </c>
      <c r="K92" s="1">
        <v>88</v>
      </c>
      <c r="L92" s="1">
        <v>84</v>
      </c>
      <c r="M92" s="1">
        <v>93</v>
      </c>
      <c r="N92" s="1">
        <v>77</v>
      </c>
      <c r="O92" s="1">
        <v>53</v>
      </c>
      <c r="P92" s="1">
        <v>37</v>
      </c>
      <c r="Q92" s="2">
        <f>AVERAGE(B92:P92)</f>
        <v>75</v>
      </c>
      <c r="R92" s="3">
        <f>MAX(GradebookTable[[#This Row],[Assignment1]:[final]])</f>
        <v>97</v>
      </c>
      <c r="S92" s="3">
        <f>MIN(GradebookTable[[#This Row],[Assignment1]:[final]])</f>
        <v>37</v>
      </c>
      <c r="T92" s="3" cm="1">
        <f t="array" ref="T92">AVERAGE(GradebookTable[[#This Row],[Assignment1]:[Assignment11]]*0.3)</f>
        <v>23.59090909090909</v>
      </c>
      <c r="U92" s="3" cm="1">
        <f t="array" ref="U92">AVERAGE(GradebookTable[[#This Row],[paper1]:[paper2]]*0.2)</f>
        <v>17</v>
      </c>
      <c r="V92" s="3">
        <f>GradebookTable[[#This Row],[midterm]]*0.2</f>
        <v>10.600000000000001</v>
      </c>
      <c r="W92" s="3">
        <f>GradebookTable[[#This Row],[final]]*0.3</f>
        <v>11.1</v>
      </c>
      <c r="X92" s="3">
        <f>SUM(GradebookTable[[#This Row],[assignment-weighted]:[final-weighted]])</f>
        <v>62.290909090909096</v>
      </c>
      <c r="Y92" s="3">
        <f>GradebookTable[[#This Row],[weighted-total]]-GradebookTable[[#This Row],[Average]]</f>
        <v>-12.709090909090904</v>
      </c>
    </row>
    <row r="93" spans="1:25" x14ac:dyDescent="0.2">
      <c r="A93" s="1" t="s">
        <v>104</v>
      </c>
      <c r="B93" s="1">
        <v>36</v>
      </c>
      <c r="C93" s="1">
        <v>82</v>
      </c>
      <c r="D93" s="1">
        <v>87</v>
      </c>
      <c r="E93" s="1">
        <v>80</v>
      </c>
      <c r="F93" s="1">
        <v>57</v>
      </c>
      <c r="G93" s="1">
        <v>95</v>
      </c>
      <c r="H93" s="1">
        <v>86</v>
      </c>
      <c r="I93" s="1">
        <v>94</v>
      </c>
      <c r="J93" s="1">
        <v>77</v>
      </c>
      <c r="K93" s="1">
        <v>79</v>
      </c>
      <c r="L93" s="1">
        <v>78</v>
      </c>
      <c r="M93" s="1">
        <v>73</v>
      </c>
      <c r="N93" s="1">
        <v>66</v>
      </c>
      <c r="O93" s="1">
        <v>53</v>
      </c>
      <c r="P93" s="1">
        <v>82</v>
      </c>
      <c r="Q93" s="2">
        <f>AVERAGE(B93:P93)</f>
        <v>75</v>
      </c>
      <c r="R93" s="3">
        <f>MAX(GradebookTable[[#This Row],[Assignment1]:[final]])</f>
        <v>95</v>
      </c>
      <c r="S93" s="3">
        <f>MIN(GradebookTable[[#This Row],[Assignment1]:[final]])</f>
        <v>36</v>
      </c>
      <c r="T93" s="3" cm="1">
        <f t="array" ref="T93">AVERAGE(GradebookTable[[#This Row],[Assignment1]:[Assignment11]]*0.3)</f>
        <v>23.209090909090907</v>
      </c>
      <c r="U93" s="3" cm="1">
        <f t="array" ref="U93">AVERAGE(GradebookTable[[#This Row],[paper1]:[paper2]]*0.2)</f>
        <v>13.900000000000002</v>
      </c>
      <c r="V93" s="3">
        <f>GradebookTable[[#This Row],[midterm]]*0.2</f>
        <v>10.600000000000001</v>
      </c>
      <c r="W93" s="3">
        <f>GradebookTable[[#This Row],[final]]*0.3</f>
        <v>24.599999999999998</v>
      </c>
      <c r="X93" s="3">
        <f>SUM(GradebookTable[[#This Row],[assignment-weighted]:[final-weighted]])</f>
        <v>72.309090909090912</v>
      </c>
      <c r="Y93" s="3">
        <f>GradebookTable[[#This Row],[weighted-total]]-GradebookTable[[#This Row],[Average]]</f>
        <v>-2.6909090909090878</v>
      </c>
    </row>
    <row r="94" spans="1:25" x14ac:dyDescent="0.2">
      <c r="A94" s="1" t="s">
        <v>105</v>
      </c>
      <c r="B94" s="1">
        <v>32</v>
      </c>
      <c r="C94" s="1">
        <v>91</v>
      </c>
      <c r="D94" s="1">
        <v>76</v>
      </c>
      <c r="E94" s="1">
        <v>75</v>
      </c>
      <c r="F94" s="1">
        <v>61</v>
      </c>
      <c r="G94" s="1">
        <v>87</v>
      </c>
      <c r="H94" s="1">
        <v>84</v>
      </c>
      <c r="I94" s="1">
        <v>64</v>
      </c>
      <c r="J94" s="1">
        <v>94</v>
      </c>
      <c r="K94" s="1">
        <v>97</v>
      </c>
      <c r="L94" s="1">
        <v>90</v>
      </c>
      <c r="M94" s="1">
        <v>71</v>
      </c>
      <c r="N94" s="1">
        <v>46</v>
      </c>
      <c r="O94" s="1">
        <v>83</v>
      </c>
      <c r="P94" s="1">
        <v>74</v>
      </c>
      <c r="Q94" s="2">
        <f>AVERAGE(B94:P94)</f>
        <v>75</v>
      </c>
      <c r="R94" s="3">
        <f>MAX(GradebookTable[[#This Row],[Assignment1]:[final]])</f>
        <v>97</v>
      </c>
      <c r="S94" s="3">
        <f>MIN(GradebookTable[[#This Row],[Assignment1]:[final]])</f>
        <v>32</v>
      </c>
      <c r="T94" s="3" cm="1">
        <f t="array" ref="T94">AVERAGE(GradebookTable[[#This Row],[Assignment1]:[Assignment11]]*0.3)</f>
        <v>23.209090909090904</v>
      </c>
      <c r="U94" s="3" cm="1">
        <f t="array" ref="U94">AVERAGE(GradebookTable[[#This Row],[paper1]:[paper2]]*0.2)</f>
        <v>11.700000000000001</v>
      </c>
      <c r="V94" s="3">
        <f>GradebookTable[[#This Row],[midterm]]*0.2</f>
        <v>16.600000000000001</v>
      </c>
      <c r="W94" s="3">
        <f>GradebookTable[[#This Row],[final]]*0.3</f>
        <v>22.2</v>
      </c>
      <c r="X94" s="3">
        <f>SUM(GradebookTable[[#This Row],[assignment-weighted]:[final-weighted]])</f>
        <v>73.709090909090904</v>
      </c>
      <c r="Y94" s="3">
        <f>GradebookTable[[#This Row],[weighted-total]]-GradebookTable[[#This Row],[Average]]</f>
        <v>-1.2909090909090963</v>
      </c>
    </row>
    <row r="95" spans="1:25" x14ac:dyDescent="0.2">
      <c r="A95" s="1" t="s">
        <v>106</v>
      </c>
      <c r="B95" s="1">
        <v>82</v>
      </c>
      <c r="C95" s="1">
        <v>44</v>
      </c>
      <c r="D95" s="1">
        <v>65</v>
      </c>
      <c r="E95" s="1">
        <v>71</v>
      </c>
      <c r="F95" s="1">
        <v>95</v>
      </c>
      <c r="G95" s="1">
        <v>97</v>
      </c>
      <c r="H95" s="1">
        <v>67</v>
      </c>
      <c r="I95" s="1">
        <v>76</v>
      </c>
      <c r="J95" s="1">
        <v>65</v>
      </c>
      <c r="K95" s="1">
        <v>99</v>
      </c>
      <c r="L95" s="1">
        <v>75</v>
      </c>
      <c r="M95" s="1">
        <v>62</v>
      </c>
      <c r="N95" s="1">
        <v>68</v>
      </c>
      <c r="O95" s="1">
        <v>75</v>
      </c>
      <c r="P95" s="1">
        <v>84</v>
      </c>
      <c r="Q95" s="2">
        <f>AVERAGE(B95:P95)</f>
        <v>75</v>
      </c>
      <c r="R95" s="3">
        <f>MAX(GradebookTable[[#This Row],[Assignment1]:[final]])</f>
        <v>99</v>
      </c>
      <c r="S95" s="3">
        <f>MIN(GradebookTable[[#This Row],[Assignment1]:[final]])</f>
        <v>44</v>
      </c>
      <c r="T95" s="3" cm="1">
        <f t="array" ref="T95">AVERAGE(GradebookTable[[#This Row],[Assignment1]:[Assignment11]]*0.3)</f>
        <v>22.799999999999997</v>
      </c>
      <c r="U95" s="3" cm="1">
        <f t="array" ref="U95">AVERAGE(GradebookTable[[#This Row],[paper1]:[paper2]]*0.2)</f>
        <v>13</v>
      </c>
      <c r="V95" s="3">
        <f>GradebookTable[[#This Row],[midterm]]*0.2</f>
        <v>15</v>
      </c>
      <c r="W95" s="3">
        <f>GradebookTable[[#This Row],[final]]*0.3</f>
        <v>25.2</v>
      </c>
      <c r="X95" s="3">
        <f>SUM(GradebookTable[[#This Row],[assignment-weighted]:[final-weighted]])</f>
        <v>76</v>
      </c>
      <c r="Y95" s="3">
        <f>GradebookTable[[#This Row],[weighted-total]]-GradebookTable[[#This Row],[Average]]</f>
        <v>1</v>
      </c>
    </row>
    <row r="96" spans="1:25" x14ac:dyDescent="0.2">
      <c r="A96" s="1" t="s">
        <v>107</v>
      </c>
      <c r="B96" s="1">
        <v>83</v>
      </c>
      <c r="C96" s="1">
        <v>76</v>
      </c>
      <c r="D96" s="1">
        <v>91</v>
      </c>
      <c r="E96" s="1">
        <v>90</v>
      </c>
      <c r="F96" s="1">
        <v>73</v>
      </c>
      <c r="G96" s="1">
        <v>59</v>
      </c>
      <c r="H96" s="1">
        <v>70</v>
      </c>
      <c r="I96" s="1">
        <v>80</v>
      </c>
      <c r="J96" s="1">
        <v>79</v>
      </c>
      <c r="K96" s="1">
        <v>57</v>
      </c>
      <c r="L96" s="1">
        <v>94</v>
      </c>
      <c r="M96" s="1">
        <v>19</v>
      </c>
      <c r="N96" s="1">
        <v>81</v>
      </c>
      <c r="O96" s="1">
        <v>91</v>
      </c>
      <c r="P96" s="1">
        <v>82</v>
      </c>
      <c r="Q96" s="2">
        <f>AVERAGE(B96:P96)</f>
        <v>75</v>
      </c>
      <c r="R96" s="3">
        <f>MAX(GradebookTable[[#This Row],[Assignment1]:[final]])</f>
        <v>94</v>
      </c>
      <c r="S96" s="3">
        <f>MIN(GradebookTable[[#This Row],[Assignment1]:[final]])</f>
        <v>19</v>
      </c>
      <c r="T96" s="3" cm="1">
        <f t="array" ref="T96">AVERAGE(GradebookTable[[#This Row],[Assignment1]:[Assignment11]]*0.3)</f>
        <v>23.236363636363635</v>
      </c>
      <c r="U96" s="3" cm="1">
        <f t="array" ref="U96">AVERAGE(GradebookTable[[#This Row],[paper1]:[paper2]]*0.2)</f>
        <v>10</v>
      </c>
      <c r="V96" s="3">
        <f>GradebookTable[[#This Row],[midterm]]*0.2</f>
        <v>18.2</v>
      </c>
      <c r="W96" s="3">
        <f>GradebookTable[[#This Row],[final]]*0.3</f>
        <v>24.599999999999998</v>
      </c>
      <c r="X96" s="3">
        <f>SUM(GradebookTable[[#This Row],[assignment-weighted]:[final-weighted]])</f>
        <v>76.036363636363632</v>
      </c>
      <c r="Y96" s="3">
        <f>GradebookTable[[#This Row],[weighted-total]]-GradebookTable[[#This Row],[Average]]</f>
        <v>1.0363636363636317</v>
      </c>
    </row>
    <row r="97" spans="1:25" x14ac:dyDescent="0.2">
      <c r="A97" s="1" t="s">
        <v>108</v>
      </c>
      <c r="B97" s="1">
        <v>95</v>
      </c>
      <c r="C97" s="1">
        <v>54</v>
      </c>
      <c r="D97" s="1">
        <v>76</v>
      </c>
      <c r="E97" s="1">
        <v>55</v>
      </c>
      <c r="F97" s="1">
        <v>98</v>
      </c>
      <c r="G97" s="1">
        <v>84</v>
      </c>
      <c r="H97" s="1">
        <v>94</v>
      </c>
      <c r="I97" s="1">
        <v>95</v>
      </c>
      <c r="J97" s="1">
        <v>93</v>
      </c>
      <c r="K97" s="1">
        <v>16</v>
      </c>
      <c r="L97" s="1">
        <v>91</v>
      </c>
      <c r="M97" s="1">
        <v>95</v>
      </c>
      <c r="N97" s="1">
        <v>78</v>
      </c>
      <c r="O97" s="1">
        <v>38</v>
      </c>
      <c r="P97" s="1">
        <v>63</v>
      </c>
      <c r="Q97" s="2">
        <f>AVERAGE(B97:P97)</f>
        <v>75</v>
      </c>
      <c r="R97" s="3">
        <f>MAX(GradebookTable[[#This Row],[Assignment1]:[final]])</f>
        <v>98</v>
      </c>
      <c r="S97" s="3">
        <f>MIN(GradebookTable[[#This Row],[Assignment1]:[final]])</f>
        <v>16</v>
      </c>
      <c r="T97" s="3" cm="1">
        <f t="array" ref="T97">AVERAGE(GradebookTable[[#This Row],[Assignment1]:[Assignment11]]*0.3)</f>
        <v>23.209090909090911</v>
      </c>
      <c r="U97" s="3" cm="1">
        <f t="array" ref="U97">AVERAGE(GradebookTable[[#This Row],[paper1]:[paper2]]*0.2)</f>
        <v>17.3</v>
      </c>
      <c r="V97" s="3">
        <f>GradebookTable[[#This Row],[midterm]]*0.2</f>
        <v>7.6000000000000005</v>
      </c>
      <c r="W97" s="3">
        <f>GradebookTable[[#This Row],[final]]*0.3</f>
        <v>18.899999999999999</v>
      </c>
      <c r="X97" s="3">
        <f>SUM(GradebookTable[[#This Row],[assignment-weighted]:[final-weighted]])</f>
        <v>67.009090909090915</v>
      </c>
      <c r="Y97" s="3">
        <f>GradebookTable[[#This Row],[weighted-total]]-GradebookTable[[#This Row],[Average]]</f>
        <v>-7.990909090909085</v>
      </c>
    </row>
    <row r="98" spans="1:25" x14ac:dyDescent="0.2">
      <c r="A98" s="1" t="s">
        <v>109</v>
      </c>
      <c r="B98" s="1">
        <v>30</v>
      </c>
      <c r="C98" s="1">
        <v>74</v>
      </c>
      <c r="D98" s="1">
        <v>94</v>
      </c>
      <c r="E98" s="1">
        <v>82</v>
      </c>
      <c r="F98" s="1">
        <v>97</v>
      </c>
      <c r="G98" s="1">
        <v>46</v>
      </c>
      <c r="H98" s="1">
        <v>75</v>
      </c>
      <c r="I98" s="1">
        <v>90</v>
      </c>
      <c r="J98" s="1">
        <v>78</v>
      </c>
      <c r="K98" s="1">
        <v>92</v>
      </c>
      <c r="L98" s="1">
        <v>97</v>
      </c>
      <c r="M98" s="1">
        <v>86</v>
      </c>
      <c r="N98" s="1">
        <v>64</v>
      </c>
      <c r="O98" s="1">
        <v>46</v>
      </c>
      <c r="P98" s="1">
        <v>74</v>
      </c>
      <c r="Q98" s="2">
        <f>AVERAGE(B98:P98)</f>
        <v>75</v>
      </c>
      <c r="R98" s="3">
        <f>MAX(GradebookTable[[#This Row],[Assignment1]:[final]])</f>
        <v>97</v>
      </c>
      <c r="S98" s="3">
        <f>MIN(GradebookTable[[#This Row],[Assignment1]:[final]])</f>
        <v>30</v>
      </c>
      <c r="T98" s="3" cm="1">
        <f t="array" ref="T98">AVERAGE(GradebookTable[[#This Row],[Assignment1]:[Assignment11]]*0.3)</f>
        <v>23.318181818181817</v>
      </c>
      <c r="U98" s="3" cm="1">
        <f t="array" ref="U98">AVERAGE(GradebookTable[[#This Row],[paper1]:[paper2]]*0.2)</f>
        <v>15</v>
      </c>
      <c r="V98" s="3">
        <f>GradebookTable[[#This Row],[midterm]]*0.2</f>
        <v>9.2000000000000011</v>
      </c>
      <c r="W98" s="3">
        <f>GradebookTable[[#This Row],[final]]*0.3</f>
        <v>22.2</v>
      </c>
      <c r="X98" s="3">
        <f>SUM(GradebookTable[[#This Row],[assignment-weighted]:[final-weighted]])</f>
        <v>69.718181818181819</v>
      </c>
      <c r="Y98" s="3">
        <f>GradebookTable[[#This Row],[weighted-total]]-GradebookTable[[#This Row],[Average]]</f>
        <v>-5.2818181818181813</v>
      </c>
    </row>
    <row r="99" spans="1:25" x14ac:dyDescent="0.2">
      <c r="A99" s="1" t="s">
        <v>110</v>
      </c>
      <c r="B99" s="1">
        <v>86</v>
      </c>
      <c r="C99" s="1">
        <v>71</v>
      </c>
      <c r="D99" s="1">
        <v>96</v>
      </c>
      <c r="E99" s="1">
        <v>66</v>
      </c>
      <c r="F99" s="1">
        <v>91</v>
      </c>
      <c r="G99" s="1">
        <v>88</v>
      </c>
      <c r="H99" s="1">
        <v>98</v>
      </c>
      <c r="I99" s="1">
        <v>93</v>
      </c>
      <c r="J99" s="1">
        <v>80</v>
      </c>
      <c r="K99" s="1">
        <v>25</v>
      </c>
      <c r="L99" s="1">
        <v>80</v>
      </c>
      <c r="M99" s="1">
        <v>9</v>
      </c>
      <c r="N99" s="1">
        <v>95</v>
      </c>
      <c r="O99" s="1">
        <v>83</v>
      </c>
      <c r="P99" s="1">
        <v>64</v>
      </c>
      <c r="Q99" s="2">
        <f>AVERAGE(B99:P99)</f>
        <v>75</v>
      </c>
      <c r="R99" s="3">
        <f>MAX(GradebookTable[[#This Row],[Assignment1]:[final]])</f>
        <v>98</v>
      </c>
      <c r="S99" s="3">
        <f>MIN(GradebookTable[[#This Row],[Assignment1]:[final]])</f>
        <v>9</v>
      </c>
      <c r="T99" s="3" cm="1">
        <f t="array" ref="T99">AVERAGE(GradebookTable[[#This Row],[Assignment1]:[Assignment11]]*0.3)</f>
        <v>23.83636363636364</v>
      </c>
      <c r="U99" s="3" cm="1">
        <f t="array" ref="U99">AVERAGE(GradebookTable[[#This Row],[paper1]:[paper2]]*0.2)</f>
        <v>10.4</v>
      </c>
      <c r="V99" s="3">
        <f>GradebookTable[[#This Row],[midterm]]*0.2</f>
        <v>16.600000000000001</v>
      </c>
      <c r="W99" s="3">
        <f>GradebookTable[[#This Row],[final]]*0.3</f>
        <v>19.2</v>
      </c>
      <c r="X99" s="3">
        <f>SUM(GradebookTable[[#This Row],[assignment-weighted]:[final-weighted]])</f>
        <v>70.036363636363646</v>
      </c>
      <c r="Y99" s="3">
        <f>GradebookTable[[#This Row],[weighted-total]]-GradebookTable[[#This Row],[Average]]</f>
        <v>-4.9636363636363541</v>
      </c>
    </row>
    <row r="100" spans="1:25" x14ac:dyDescent="0.2">
      <c r="A100" s="1" t="s">
        <v>111</v>
      </c>
      <c r="B100" s="1">
        <v>51</v>
      </c>
      <c r="C100" s="1">
        <v>82</v>
      </c>
      <c r="D100" s="1">
        <v>81</v>
      </c>
      <c r="E100" s="1">
        <v>40</v>
      </c>
      <c r="F100" s="1">
        <v>59</v>
      </c>
      <c r="G100" s="1">
        <v>89</v>
      </c>
      <c r="H100" s="1">
        <v>87</v>
      </c>
      <c r="I100" s="1">
        <v>85</v>
      </c>
      <c r="J100" s="1">
        <v>98</v>
      </c>
      <c r="K100" s="1">
        <v>86</v>
      </c>
      <c r="L100" s="1">
        <v>74</v>
      </c>
      <c r="M100" s="1">
        <v>93</v>
      </c>
      <c r="N100" s="1">
        <v>58</v>
      </c>
      <c r="O100" s="1">
        <v>98</v>
      </c>
      <c r="P100" s="1">
        <v>44</v>
      </c>
      <c r="Q100" s="2">
        <f>AVERAGE(B100:P100)</f>
        <v>75</v>
      </c>
      <c r="R100" s="3">
        <f>MAX(GradebookTable[[#This Row],[Assignment1]:[final]])</f>
        <v>98</v>
      </c>
      <c r="S100" s="3">
        <f>MIN(GradebookTable[[#This Row],[Assignment1]:[final]])</f>
        <v>40</v>
      </c>
      <c r="T100" s="3" cm="1">
        <f t="array" ref="T100">AVERAGE(GradebookTable[[#This Row],[Assignment1]:[Assignment11]]*0.3)</f>
        <v>22.690909090909091</v>
      </c>
      <c r="U100" s="3" cm="1">
        <f t="array" ref="U100">AVERAGE(GradebookTable[[#This Row],[paper1]:[paper2]]*0.2)</f>
        <v>15.100000000000001</v>
      </c>
      <c r="V100" s="3">
        <f>GradebookTable[[#This Row],[midterm]]*0.2</f>
        <v>19.600000000000001</v>
      </c>
      <c r="W100" s="3">
        <f>GradebookTable[[#This Row],[final]]*0.3</f>
        <v>13.2</v>
      </c>
      <c r="X100" s="3">
        <f>SUM(GradebookTable[[#This Row],[assignment-weighted]:[final-weighted]])</f>
        <v>70.590909090909093</v>
      </c>
      <c r="Y100" s="3">
        <f>GradebookTable[[#This Row],[weighted-total]]-GradebookTable[[#This Row],[Average]]</f>
        <v>-4.4090909090909065</v>
      </c>
    </row>
    <row r="101" spans="1:25" x14ac:dyDescent="0.2">
      <c r="A101" s="1" t="s">
        <v>112</v>
      </c>
      <c r="B101" s="1">
        <v>93</v>
      </c>
      <c r="C101" s="1">
        <v>38</v>
      </c>
      <c r="D101" s="1">
        <v>57</v>
      </c>
      <c r="E101" s="1">
        <v>94</v>
      </c>
      <c r="F101" s="1">
        <v>84</v>
      </c>
      <c r="G101" s="1">
        <v>84</v>
      </c>
      <c r="H101" s="1">
        <v>98</v>
      </c>
      <c r="I101" s="1">
        <v>36</v>
      </c>
      <c r="J101" s="1">
        <v>39</v>
      </c>
      <c r="K101" s="1">
        <v>98</v>
      </c>
      <c r="L101" s="1">
        <v>90</v>
      </c>
      <c r="M101" s="1">
        <v>44</v>
      </c>
      <c r="N101" s="1">
        <v>86</v>
      </c>
      <c r="O101" s="1">
        <v>94</v>
      </c>
      <c r="P101" s="1">
        <v>90</v>
      </c>
      <c r="Q101" s="2">
        <f>AVERAGE(B101:P101)</f>
        <v>75</v>
      </c>
      <c r="R101" s="3">
        <f>MAX(GradebookTable[[#This Row],[Assignment1]:[final]])</f>
        <v>98</v>
      </c>
      <c r="S101" s="3">
        <f>MIN(GradebookTable[[#This Row],[Assignment1]:[final]])</f>
        <v>36</v>
      </c>
      <c r="T101" s="3" cm="1">
        <f t="array" ref="T101">AVERAGE(GradebookTable[[#This Row],[Assignment1]:[Assignment11]]*0.3)</f>
        <v>22.118181818181821</v>
      </c>
      <c r="U101" s="3" cm="1">
        <f t="array" ref="U101">AVERAGE(GradebookTable[[#This Row],[paper1]:[paper2]]*0.2)</f>
        <v>13</v>
      </c>
      <c r="V101" s="3">
        <f>GradebookTable[[#This Row],[midterm]]*0.2</f>
        <v>18.8</v>
      </c>
      <c r="W101" s="3">
        <f>GradebookTable[[#This Row],[final]]*0.3</f>
        <v>27</v>
      </c>
      <c r="X101" s="3">
        <f>SUM(GradebookTable[[#This Row],[assignment-weighted]:[final-weighted]])</f>
        <v>80.918181818181822</v>
      </c>
      <c r="Y101" s="3">
        <f>GradebookTable[[#This Row],[weighted-total]]-GradebookTable[[#This Row],[Average]]</f>
        <v>5.9181818181818215</v>
      </c>
    </row>
    <row r="102" spans="1:25" x14ac:dyDescent="0.2">
      <c r="B102">
        <f>AVERAGE(GradebookTable[Assignment10])</f>
        <v>73.69</v>
      </c>
      <c r="C102">
        <f>AVERAGE(GradebookTable[Assignment11])</f>
        <v>75.900000000000006</v>
      </c>
      <c r="D102">
        <f>AVERAGE(GradebookTable[paper1])</f>
        <v>74.52</v>
      </c>
      <c r="E102">
        <f>AVERAGE(GradebookTable[Assignment10])</f>
        <v>73.69</v>
      </c>
      <c r="F102">
        <f>AVERAGE(GradebookTable[Assignment11])</f>
        <v>75.900000000000006</v>
      </c>
      <c r="G102">
        <f>AVERAGE(GradebookTable[paper1])</f>
        <v>74.52</v>
      </c>
      <c r="H102">
        <f>AVERAGE(GradebookTable[paper2])</f>
        <v>75.760000000000005</v>
      </c>
      <c r="I102">
        <f>AVERAGE(GradebookTable[Assignment11])</f>
        <v>75.900000000000006</v>
      </c>
      <c r="J102">
        <f>AVERAGE(GradebookTable[paper1])</f>
        <v>74.52</v>
      </c>
      <c r="K102">
        <f>AVERAGE(GradebookTable[paper2])</f>
        <v>75.760000000000005</v>
      </c>
      <c r="L102">
        <f>AVERAGE(GradebookTable[midterm])</f>
        <v>76.3</v>
      </c>
      <c r="M102">
        <f>AVERAGE(GradebookTable[paper1])</f>
        <v>74.52</v>
      </c>
      <c r="N102">
        <f>AVERAGE(GradebookTable[paper2])</f>
        <v>75.760000000000005</v>
      </c>
      <c r="O102">
        <f>AVERAGE(GradebookTable[midterm])</f>
        <v>76.3</v>
      </c>
      <c r="P102">
        <f>AVERAGE(GradebookTable[final])</f>
        <v>75.400000000000006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511-CB42-4F42-BF94-A69AA07666EE}">
  <dimension ref="A1"/>
  <sheetViews>
    <sheetView workbookViewId="0">
      <selection sqref="A1:I104857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Gradebook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Madland</cp:lastModifiedBy>
  <dcterms:created xsi:type="dcterms:W3CDTF">2025-10-14T16:59:59Z</dcterms:created>
  <dcterms:modified xsi:type="dcterms:W3CDTF">2025-10-22T23:19:37Z</dcterms:modified>
</cp:coreProperties>
</file>